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1c8133d8c686d63/Documents/Claude Code/"/>
    </mc:Choice>
  </mc:AlternateContent>
  <xr:revisionPtr revIDLastSave="177" documentId="8_{6D11B2BB-9935-4483-8202-ABDF3550D4B8}" xr6:coauthVersionLast="47" xr6:coauthVersionMax="47" xr10:uidLastSave="{F350B326-0A44-428C-92C8-0505525A47A4}"/>
  <bookViews>
    <workbookView xWindow="-108" yWindow="-108" windowWidth="23256" windowHeight="13896" tabRatio="500" xr2:uid="{00000000-000D-0000-FFFF-FFFF00000000}"/>
  </bookViews>
  <sheets>
    <sheet name="Sales Transactions" sheetId="2" r:id="rId1"/>
    <sheet name="Sales Targets" sheetId="3" r:id="rId2"/>
    <sheet name="Performance Analysis" sheetId="4" r:id="rId3"/>
    <sheet name="Dashboard" sheetId="5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5" l="1"/>
  <c r="B11" i="5"/>
  <c r="A20" i="5"/>
  <c r="B15" i="5"/>
  <c r="B14" i="5"/>
  <c r="B13" i="5"/>
  <c r="B12" i="5"/>
  <c r="B6" i="5"/>
  <c r="B5" i="5"/>
  <c r="C4" i="4"/>
  <c r="C25" i="4"/>
  <c r="C5" i="4"/>
  <c r="D5" i="4"/>
  <c r="E5" i="4"/>
  <c r="F5" i="4"/>
  <c r="G5" i="4"/>
  <c r="C6" i="4"/>
  <c r="D6" i="4"/>
  <c r="E6" i="4"/>
  <c r="F6" i="4"/>
  <c r="G6" i="4"/>
  <c r="C7" i="4"/>
  <c r="D7" i="4"/>
  <c r="E7" i="4"/>
  <c r="F7" i="4"/>
  <c r="G7" i="4"/>
  <c r="C8" i="4"/>
  <c r="D8" i="4"/>
  <c r="E8" i="4"/>
  <c r="F8" i="4"/>
  <c r="G8" i="4"/>
  <c r="C9" i="4"/>
  <c r="D9" i="4"/>
  <c r="E9" i="4"/>
  <c r="F9" i="4"/>
  <c r="G9" i="4"/>
  <c r="C10" i="4"/>
  <c r="D10" i="4"/>
  <c r="E10" i="4"/>
  <c r="F10" i="4"/>
  <c r="G10" i="4"/>
  <c r="C11" i="4"/>
  <c r="D11" i="4"/>
  <c r="E11" i="4"/>
  <c r="F11" i="4"/>
  <c r="G11" i="4"/>
  <c r="C12" i="4"/>
  <c r="D12" i="4"/>
  <c r="E12" i="4"/>
  <c r="F12" i="4"/>
  <c r="G12" i="4"/>
  <c r="C13" i="4"/>
  <c r="D13" i="4"/>
  <c r="E13" i="4"/>
  <c r="F13" i="4"/>
  <c r="G13" i="4"/>
  <c r="C14" i="4"/>
  <c r="D14" i="4"/>
  <c r="C15" i="4"/>
  <c r="D15" i="4"/>
  <c r="E15" i="4"/>
  <c r="F15" i="4"/>
  <c r="G15" i="4"/>
  <c r="C16" i="4"/>
  <c r="D16" i="4"/>
  <c r="E16" i="4"/>
  <c r="F16" i="4"/>
  <c r="G16" i="4"/>
  <c r="C17" i="4"/>
  <c r="D17" i="4"/>
  <c r="E17" i="4"/>
  <c r="F17" i="4"/>
  <c r="G17" i="4"/>
  <c r="C18" i="4"/>
  <c r="D18" i="4"/>
  <c r="E18" i="4"/>
  <c r="F18" i="4"/>
  <c r="G18" i="4"/>
  <c r="C19" i="4"/>
  <c r="D19" i="4"/>
  <c r="E19" i="4"/>
  <c r="F19" i="4"/>
  <c r="G19" i="4"/>
  <c r="C20" i="4"/>
  <c r="D20" i="4"/>
  <c r="C21" i="4"/>
  <c r="D21" i="4"/>
  <c r="C22" i="4"/>
  <c r="D22" i="4"/>
  <c r="C23" i="4"/>
  <c r="D23" i="4"/>
  <c r="D4" i="4"/>
  <c r="D25" i="4" s="1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B19" i="5" l="1"/>
  <c r="A21" i="5"/>
  <c r="B20" i="5" s="1"/>
  <c r="C20" i="5"/>
  <c r="B7" i="5"/>
  <c r="B8" i="5"/>
  <c r="E14" i="4"/>
  <c r="F14" i="4"/>
  <c r="G14" i="4"/>
  <c r="E20" i="4"/>
  <c r="F20" i="4"/>
  <c r="G20" i="4"/>
  <c r="E21" i="4"/>
  <c r="F21" i="4" s="1"/>
  <c r="G21" i="4"/>
  <c r="E25" i="4"/>
  <c r="F25" i="4"/>
  <c r="E22" i="4"/>
  <c r="F22" i="4" s="1"/>
  <c r="G22" i="4"/>
  <c r="E23" i="4"/>
  <c r="F23" i="4"/>
  <c r="G23" i="4"/>
  <c r="G4" i="4"/>
  <c r="E4" i="4"/>
  <c r="F4" i="4" s="1"/>
  <c r="C21" i="5" l="1"/>
  <c r="A22" i="5"/>
  <c r="B21" i="5" s="1"/>
  <c r="B22" i="5" l="1"/>
  <c r="C22" i="5"/>
  <c r="A23" i="5"/>
  <c r="C23" i="5" l="1"/>
  <c r="A24" i="5"/>
  <c r="B23" i="5" s="1"/>
  <c r="C24" i="5" l="1"/>
  <c r="A25" i="5"/>
  <c r="B24" i="5" s="1"/>
  <c r="A26" i="5" l="1"/>
  <c r="B25" i="5" s="1"/>
  <c r="C25" i="5"/>
  <c r="C26" i="5" l="1"/>
  <c r="A27" i="5"/>
  <c r="B26" i="5" s="1"/>
  <c r="C27" i="5" l="1"/>
  <c r="A28" i="5"/>
  <c r="B27" i="5" s="1"/>
  <c r="C28" i="5" l="1"/>
  <c r="A29" i="5"/>
  <c r="B28" i="5" s="1"/>
  <c r="C29" i="5" l="1"/>
  <c r="A30" i="5"/>
  <c r="B29" i="5" s="1"/>
  <c r="C30" i="5" l="1"/>
  <c r="A31" i="5"/>
  <c r="B30" i="5" s="1"/>
  <c r="B31" i="5" l="1"/>
  <c r="C31" i="5"/>
  <c r="A32" i="5"/>
  <c r="C32" i="5" l="1"/>
  <c r="A33" i="5"/>
  <c r="B32" i="5" s="1"/>
  <c r="C33" i="5" l="1"/>
  <c r="A34" i="5"/>
  <c r="B33" i="5" s="1"/>
  <c r="C34" i="5" l="1"/>
  <c r="A35" i="5"/>
  <c r="B34" i="5" s="1"/>
  <c r="C35" i="5" l="1"/>
  <c r="A36" i="5"/>
  <c r="B35" i="5" s="1"/>
  <c r="A37" i="5" l="1"/>
  <c r="B36" i="5" s="1"/>
  <c r="C36" i="5"/>
  <c r="B37" i="5" l="1"/>
  <c r="C37" i="5"/>
  <c r="A38" i="5"/>
  <c r="A39" i="5" l="1"/>
  <c r="B38" i="5" s="1"/>
  <c r="C38" i="5"/>
  <c r="C39" i="5" l="1"/>
  <c r="A40" i="5"/>
  <c r="B39" i="5" s="1"/>
  <c r="C40" i="5" l="1"/>
  <c r="A41" i="5"/>
  <c r="B40" i="5" s="1"/>
  <c r="C41" i="5" l="1"/>
  <c r="A42" i="5"/>
  <c r="B41" i="5" s="1"/>
  <c r="B42" i="5" l="1"/>
  <c r="C42" i="5"/>
</calcChain>
</file>

<file path=xl/sharedStrings.xml><?xml version="1.0" encoding="utf-8"?>
<sst xmlns="http://schemas.openxmlformats.org/spreadsheetml/2006/main" count="3468" uniqueCount="63">
  <si>
    <t>Order ID</t>
  </si>
  <si>
    <t>Order Date</t>
  </si>
  <si>
    <t>Region</t>
  </si>
  <si>
    <t>Category</t>
  </si>
  <si>
    <t>Sales Rep</t>
  </si>
  <si>
    <t>Units Sold</t>
  </si>
  <si>
    <t>Unit Price</t>
  </si>
  <si>
    <t>Revenue</t>
  </si>
  <si>
    <t>2024-01-01</t>
  </si>
  <si>
    <t>South</t>
  </si>
  <si>
    <t>Toys &amp; Games</t>
  </si>
  <si>
    <t>Priya Shah</t>
  </si>
  <si>
    <t>Northeast</t>
  </si>
  <si>
    <t>Sporting Goods</t>
  </si>
  <si>
    <t>Marcus Webb</t>
  </si>
  <si>
    <t>West</t>
  </si>
  <si>
    <t>Morgan Ellis</t>
  </si>
  <si>
    <t>Midwest</t>
  </si>
  <si>
    <t>Apparel</t>
  </si>
  <si>
    <t>Jenna Park</t>
  </si>
  <si>
    <t>Sam Okafor</t>
  </si>
  <si>
    <t>Home &amp; Garden</t>
  </si>
  <si>
    <t>Tyler Bloom</t>
  </si>
  <si>
    <t>Alex Chen</t>
  </si>
  <si>
    <t>Electronics</t>
  </si>
  <si>
    <t>Dana Reyes</t>
  </si>
  <si>
    <t>2024-02-01</t>
  </si>
  <si>
    <t>2024-03-01</t>
  </si>
  <si>
    <t>2024-09-01</t>
  </si>
  <si>
    <t>2025-01-01</t>
  </si>
  <si>
    <t>2025-04-01</t>
  </si>
  <si>
    <t>2025-05-01</t>
  </si>
  <si>
    <t>2025-06-01</t>
  </si>
  <si>
    <t>2025-07-01</t>
  </si>
  <si>
    <t>2025-08-01</t>
  </si>
  <si>
    <t>2025-10-01</t>
  </si>
  <si>
    <t>2025-11-01</t>
  </si>
  <si>
    <t>Month</t>
  </si>
  <si>
    <t>Target Revenue</t>
  </si>
  <si>
    <t>2024-04-01</t>
  </si>
  <si>
    <t>2024-05-01</t>
  </si>
  <si>
    <t>2024-06-01</t>
  </si>
  <si>
    <t>2024-07-01</t>
  </si>
  <si>
    <t>2024-08-01</t>
  </si>
  <si>
    <t>2024-10-01</t>
  </si>
  <si>
    <t>2024-11-01</t>
  </si>
  <si>
    <t>2024-12-01</t>
  </si>
  <si>
    <t>2025-02-01</t>
  </si>
  <si>
    <t>2025-03-01</t>
  </si>
  <si>
    <t>2025-09-01</t>
  </si>
  <si>
    <t>2025-12-01</t>
  </si>
  <si>
    <t>Retail Sales Performance: Actual vs. Target</t>
  </si>
  <si>
    <t>Actual Revenue</t>
  </si>
  <si>
    <t>$ Variance</t>
  </si>
  <si>
    <t>% Variance</t>
  </si>
  <si>
    <t>Result</t>
  </si>
  <si>
    <t>Total</t>
  </si>
  <si>
    <t>Retail Sales Performance Dashboard</t>
  </si>
  <si>
    <t>Region:</t>
  </si>
  <si>
    <t>Category:</t>
  </si>
  <si>
    <t>Target Revenue:</t>
  </si>
  <si>
    <t>$ Variance:</t>
  </si>
  <si>
    <t>% Variance: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</si>
</sst>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\$#,##0.00"/>
    <numFmt numFmtId="166" formatCode="mmm\-yyyy"/>
    <numFmt numFmtId="167" formatCode="\$#,##0"/>
    <numFmt numFmtId="168" formatCode="m/d/yy;@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sz val="11"/>
      <color rgb="FF0000FF"/>
      <name val="Cambria"/>
      <charset val="1"/>
    </font>
    <font>
      <sz val="11"/>
      <color rgb="FF000000"/>
      <name val="Cambria"/>
      <charset val="1"/>
    </font>
    <font>
      <sz val="11"/>
      <color rgb="FF0000FF"/>
      <name val="Calibri"/>
      <family val="2"/>
    </font>
    <font>
      <sz val="10"/>
      <color rgb="FF1212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0" fontId="3" fillId="0" borderId="1" xfId="0" applyFont="1" applyBorder="1"/>
    <xf numFmtId="167" fontId="4" fillId="0" borderId="1" xfId="0" applyNumberFormat="1" applyFont="1" applyBorder="1"/>
    <xf numFmtId="14" fontId="0" fillId="0" borderId="0" xfId="0" applyNumberFormat="1"/>
    <xf numFmtId="168" fontId="0" fillId="0" borderId="0" xfId="0" applyNumberFormat="1"/>
    <xf numFmtId="0" fontId="5" fillId="0" borderId="0" xfId="0" applyFont="1"/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95B4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95B41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$ Variance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Dashboard!$A$11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Dashboard!$B$11</c:f>
              <c:numCache>
                <c:formatCode>General</c:formatCode>
                <c:ptCount val="1"/>
                <c:pt idx="0">
                  <c:v>-21789.629999999976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4-414F-A77A-94E67EED29E1}"/>
            </c:ext>
          </c:extLst>
        </c:ser>
        <c:ser>
          <c:idx val="1"/>
          <c:order val="1"/>
          <c:tx>
            <c:strRef>
              <c:f>Dashboard!$A$12</c:f>
              <c:strCache>
                <c:ptCount val="1"/>
                <c:pt idx="0">
                  <c:v>Apparel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Dashboard!$B$12</c:f>
              <c:numCache>
                <c:formatCode>General</c:formatCode>
                <c:ptCount val="1"/>
                <c:pt idx="0">
                  <c:v>2500.2299999999959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84-414F-A77A-94E67EED29E1}"/>
            </c:ext>
          </c:extLst>
        </c:ser>
        <c:ser>
          <c:idx val="2"/>
          <c:order val="2"/>
          <c:tx>
            <c:strRef>
              <c:f>Dashboard!$A$13</c:f>
              <c:strCache>
                <c:ptCount val="1"/>
                <c:pt idx="0">
                  <c:v>Home &amp; Garden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Dashboard!$B$13</c:f>
              <c:numCache>
                <c:formatCode>General</c:formatCode>
                <c:ptCount val="1"/>
                <c:pt idx="0">
                  <c:v>-6098.589999999982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84-414F-A77A-94E67EED29E1}"/>
            </c:ext>
          </c:extLst>
        </c:ser>
        <c:ser>
          <c:idx val="3"/>
          <c:order val="3"/>
          <c:tx>
            <c:strRef>
              <c:f>Dashboard!$A$14</c:f>
              <c:strCache>
                <c:ptCount val="1"/>
                <c:pt idx="0">
                  <c:v>Sporting Goods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Dashboard!$B$14</c:f>
              <c:numCache>
                <c:formatCode>General</c:formatCode>
                <c:ptCount val="1"/>
                <c:pt idx="0">
                  <c:v>-10222.670000000013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84-414F-A77A-94E67EED29E1}"/>
            </c:ext>
          </c:extLst>
        </c:ser>
        <c:ser>
          <c:idx val="4"/>
          <c:order val="4"/>
          <c:tx>
            <c:strRef>
              <c:f>Dashboard!$A$15</c:f>
              <c:strCache>
                <c:ptCount val="1"/>
                <c:pt idx="0">
                  <c:v>Toys &amp; Games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Dashboard!$B$15</c:f>
              <c:numCache>
                <c:formatCode>General</c:formatCode>
                <c:ptCount val="1"/>
                <c:pt idx="0">
                  <c:v>-4163.1299999999974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84-414F-A77A-94E67EED2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274272"/>
        <c:axId val="644748464"/>
      </c:barChart>
      <c:catAx>
        <c:axId val="21027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748464"/>
        <c:crosses val="autoZero"/>
        <c:auto val="1"/>
        <c:lblAlgn val="ctr"/>
        <c:lblOffset val="100"/>
        <c:noMultiLvlLbl val="0"/>
      </c:catAx>
      <c:valAx>
        <c:axId val="64474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7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Actual vs Target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Dashboard!$B$18</c:f>
              <c:strCache>
                <c:ptCount val="1"/>
                <c:pt idx="0">
                  <c:v>Actual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Dashboard!$A$19:$A$42</c:f>
              <c:numCache>
                <c:formatCode>m/d/yy;@</c:formatCode>
                <c:ptCount val="24"/>
                <c:pt idx="0" formatCode="m/d/yyyy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Dashboard!$B$19:$B$42</c:f>
              <c:numCache>
                <c:formatCode>General</c:formatCode>
                <c:ptCount val="24"/>
                <c:pt idx="0">
                  <c:v>2298</c:v>
                </c:pt>
                <c:pt idx="1">
                  <c:v>1387.24</c:v>
                </c:pt>
                <c:pt idx="2">
                  <c:v>762.5</c:v>
                </c:pt>
                <c:pt idx="3">
                  <c:v>99.210000000000008</c:v>
                </c:pt>
                <c:pt idx="4">
                  <c:v>1208.0999999999999</c:v>
                </c:pt>
                <c:pt idx="5">
                  <c:v>0</c:v>
                </c:pt>
                <c:pt idx="6">
                  <c:v>0</c:v>
                </c:pt>
                <c:pt idx="7">
                  <c:v>55.56</c:v>
                </c:pt>
                <c:pt idx="8">
                  <c:v>283.92</c:v>
                </c:pt>
                <c:pt idx="9">
                  <c:v>122.44</c:v>
                </c:pt>
                <c:pt idx="10">
                  <c:v>1309.3399999999999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1695.4899999999998</c:v>
                </c:pt>
                <c:pt idx="15">
                  <c:v>0</c:v>
                </c:pt>
                <c:pt idx="16">
                  <c:v>151.95000000000002</c:v>
                </c:pt>
                <c:pt idx="17">
                  <c:v>646.12</c:v>
                </c:pt>
                <c:pt idx="18">
                  <c:v>2423.12</c:v>
                </c:pt>
                <c:pt idx="19">
                  <c:v>1543.04</c:v>
                </c:pt>
                <c:pt idx="20">
                  <c:v>0</c:v>
                </c:pt>
                <c:pt idx="21">
                  <c:v>89.92</c:v>
                </c:pt>
                <c:pt idx="22">
                  <c:v>3099.48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9-44B9-BC04-9CE2108FC983}"/>
            </c:ext>
          </c:extLst>
        </c:ser>
        <c:ser>
          <c:idx val="1"/>
          <c:order val="1"/>
          <c:tx>
            <c:strRef>
              <c:f>Dashboard!$C$18</c:f>
              <c:strCache>
                <c:ptCount val="1"/>
                <c:pt idx="0">
                  <c:v>Target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Dashboard!$A$19:$A$42</c:f>
              <c:numCache>
                <c:formatCode>m/d/yy;@</c:formatCode>
                <c:ptCount val="24"/>
                <c:pt idx="0" formatCode="m/d/yyyy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Dashboard!$C$19:$C$42</c:f>
              <c:numCache>
                <c:formatCode>General</c:formatCode>
                <c:ptCount val="24"/>
                <c:pt idx="0">
                  <c:v>750</c:v>
                </c:pt>
                <c:pt idx="1">
                  <c:v>760</c:v>
                </c:pt>
                <c:pt idx="2">
                  <c:v>850</c:v>
                </c:pt>
                <c:pt idx="3">
                  <c:v>860</c:v>
                </c:pt>
                <c:pt idx="4">
                  <c:v>870</c:v>
                </c:pt>
                <c:pt idx="5">
                  <c:v>870</c:v>
                </c:pt>
                <c:pt idx="6">
                  <c:v>880</c:v>
                </c:pt>
                <c:pt idx="7">
                  <c:v>890</c:v>
                </c:pt>
                <c:pt idx="8">
                  <c:v>900</c:v>
                </c:pt>
                <c:pt idx="9">
                  <c:v>910</c:v>
                </c:pt>
                <c:pt idx="10">
                  <c:v>1100</c:v>
                </c:pt>
                <c:pt idx="11">
                  <c:v>1110</c:v>
                </c:pt>
                <c:pt idx="12">
                  <c:v>840</c:v>
                </c:pt>
                <c:pt idx="13">
                  <c:v>850</c:v>
                </c:pt>
                <c:pt idx="14">
                  <c:v>950</c:v>
                </c:pt>
                <c:pt idx="15">
                  <c:v>960</c:v>
                </c:pt>
                <c:pt idx="16">
                  <c:v>970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1220</c:v>
                </c:pt>
                <c:pt idx="23">
                  <c:v>1230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9-44B9-BC04-9CE2108FC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787584"/>
        <c:axId val="2087548048"/>
      </c:lineChart>
      <c:dateAx>
        <c:axId val="20857875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548048"/>
        <c:crosses val="autoZero"/>
        <c:auto val="1"/>
        <c:lblOffset val="100"/>
        <c:baseTimeUnit val="months"/>
      </c:dateAx>
      <c:valAx>
        <c:axId val="208754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7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0</xdr:row>
      <xdr:rowOff>95250</xdr:rowOff>
    </xdr:from>
    <xdr:to>
      <xdr:col>12</xdr:col>
      <xdr:colOff>419100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E80E34-2AE4-1D28-4450-A2286E9FD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121920</xdr:colOff>
      <xdr:row>21</xdr:row>
      <xdr:rowOff>49530</xdr:rowOff>
    </xdr:from>
    <xdr:to>
      <xdr:col>12</xdr:col>
      <xdr:colOff>426720</xdr:colOff>
      <xdr:row>35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9A9780-7A62-DF8E-183D-266BEF509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1"/>
  <sheetViews>
    <sheetView tabSelected="1" zoomScaleNormal="100" workbookViewId="0">
      <pane ySplit="1" topLeftCell="A2" activePane="bottomLeft" state="frozen"/>
      <selection pane="bottomLeft" activeCell="L632" sqref="L632"/>
    </sheetView>
  </sheetViews>
  <sheetFormatPr defaultColWidth="8.6640625" defaultRowHeight="14.4" x14ac:dyDescent="0.3"/>
  <cols>
    <col min="1" max="1" width="10" customWidth="1"/>
    <col min="2" max="3" width="12" customWidth="1"/>
    <col min="4" max="4" width="15" customWidth="1"/>
    <col min="5" max="5" width="16" customWidth="1"/>
    <col min="6" max="6" width="10" customWidth="1"/>
    <col min="7" max="7" width="11" customWidth="1"/>
    <col min="8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1027</v>
      </c>
      <c r="B2" s="3">
        <v>45292</v>
      </c>
      <c r="C2" s="2" t="s">
        <v>9</v>
      </c>
      <c r="D2" s="2" t="s">
        <v>10</v>
      </c>
      <c r="E2" s="2" t="s">
        <v>11</v>
      </c>
      <c r="F2" s="2">
        <v>40</v>
      </c>
      <c r="G2" s="4">
        <v>57.45</v>
      </c>
      <c r="H2" s="5">
        <f t="shared" ref="H2:H65" si="0">F2*G2</f>
        <v>2298</v>
      </c>
    </row>
    <row r="3" spans="1:8" x14ac:dyDescent="0.3">
      <c r="A3" s="2">
        <v>1125</v>
      </c>
      <c r="B3" s="3">
        <v>45292</v>
      </c>
      <c r="C3" s="2" t="s">
        <v>12</v>
      </c>
      <c r="D3" s="2" t="s">
        <v>13</v>
      </c>
      <c r="E3" s="2" t="s">
        <v>14</v>
      </c>
      <c r="F3" s="2">
        <v>16</v>
      </c>
      <c r="G3" s="4">
        <v>195.14</v>
      </c>
      <c r="H3" s="5">
        <f t="shared" si="0"/>
        <v>3122.24</v>
      </c>
    </row>
    <row r="4" spans="1:8" x14ac:dyDescent="0.3">
      <c r="A4" s="2">
        <v>1574</v>
      </c>
      <c r="B4" s="3">
        <v>45292</v>
      </c>
      <c r="C4" s="2" t="s">
        <v>15</v>
      </c>
      <c r="D4" s="2" t="s">
        <v>13</v>
      </c>
      <c r="E4" s="2" t="s">
        <v>16</v>
      </c>
      <c r="F4" s="2">
        <v>25</v>
      </c>
      <c r="G4" s="4">
        <v>128.65</v>
      </c>
      <c r="H4" s="5">
        <f t="shared" si="0"/>
        <v>3216.25</v>
      </c>
    </row>
    <row r="5" spans="1:8" x14ac:dyDescent="0.3">
      <c r="A5" s="2">
        <v>1131</v>
      </c>
      <c r="B5" s="3">
        <v>45293</v>
      </c>
      <c r="C5" s="2" t="s">
        <v>12</v>
      </c>
      <c r="D5" s="2" t="s">
        <v>10</v>
      </c>
      <c r="E5" s="2" t="s">
        <v>14</v>
      </c>
      <c r="F5" s="2">
        <v>18</v>
      </c>
      <c r="G5" s="4">
        <v>59.82</v>
      </c>
      <c r="H5" s="5">
        <f t="shared" si="0"/>
        <v>1076.76</v>
      </c>
    </row>
    <row r="6" spans="1:8" x14ac:dyDescent="0.3">
      <c r="A6" s="2">
        <v>1355</v>
      </c>
      <c r="B6" s="3">
        <v>45293</v>
      </c>
      <c r="C6" s="2" t="s">
        <v>17</v>
      </c>
      <c r="D6" s="2" t="s">
        <v>18</v>
      </c>
      <c r="E6" s="2" t="s">
        <v>19</v>
      </c>
      <c r="F6" s="2">
        <v>27</v>
      </c>
      <c r="G6" s="4">
        <v>47.64</v>
      </c>
      <c r="H6" s="5">
        <f t="shared" si="0"/>
        <v>1286.28</v>
      </c>
    </row>
    <row r="7" spans="1:8" x14ac:dyDescent="0.3">
      <c r="A7" s="2">
        <v>1415</v>
      </c>
      <c r="B7" s="3">
        <v>45294</v>
      </c>
      <c r="C7" s="2" t="s">
        <v>17</v>
      </c>
      <c r="D7" s="2" t="s">
        <v>10</v>
      </c>
      <c r="E7" s="2" t="s">
        <v>20</v>
      </c>
      <c r="F7" s="2">
        <v>26</v>
      </c>
      <c r="G7" s="4">
        <v>55.85</v>
      </c>
      <c r="H7" s="5">
        <f t="shared" si="0"/>
        <v>1452.1000000000001</v>
      </c>
    </row>
    <row r="8" spans="1:8" x14ac:dyDescent="0.3">
      <c r="A8" s="2">
        <v>1165</v>
      </c>
      <c r="B8" s="3">
        <v>45296</v>
      </c>
      <c r="C8" s="2" t="s">
        <v>15</v>
      </c>
      <c r="D8" s="2" t="s">
        <v>18</v>
      </c>
      <c r="E8" s="2" t="s">
        <v>16</v>
      </c>
      <c r="F8" s="2">
        <v>3</v>
      </c>
      <c r="G8" s="4">
        <v>83.58</v>
      </c>
      <c r="H8" s="5">
        <f t="shared" si="0"/>
        <v>250.74</v>
      </c>
    </row>
    <row r="9" spans="1:8" x14ac:dyDescent="0.3">
      <c r="A9" s="2">
        <v>1284</v>
      </c>
      <c r="B9" s="3">
        <v>45298</v>
      </c>
      <c r="C9" s="2" t="s">
        <v>9</v>
      </c>
      <c r="D9" s="2" t="s">
        <v>21</v>
      </c>
      <c r="E9" s="2" t="s">
        <v>22</v>
      </c>
      <c r="F9" s="2">
        <v>32</v>
      </c>
      <c r="G9" s="4">
        <v>110.47</v>
      </c>
      <c r="H9" s="5">
        <f t="shared" si="0"/>
        <v>3535.04</v>
      </c>
    </row>
    <row r="10" spans="1:8" x14ac:dyDescent="0.3">
      <c r="A10" s="2">
        <v>1462</v>
      </c>
      <c r="B10" s="3">
        <v>45298</v>
      </c>
      <c r="C10" s="2" t="s">
        <v>15</v>
      </c>
      <c r="D10" s="2" t="s">
        <v>18</v>
      </c>
      <c r="E10" s="2" t="s">
        <v>16</v>
      </c>
      <c r="F10" s="2">
        <v>9</v>
      </c>
      <c r="G10" s="4">
        <v>67.349999999999994</v>
      </c>
      <c r="H10" s="5">
        <f t="shared" si="0"/>
        <v>606.15</v>
      </c>
    </row>
    <row r="11" spans="1:8" x14ac:dyDescent="0.3">
      <c r="A11" s="2">
        <v>1070</v>
      </c>
      <c r="B11" s="3">
        <v>45303</v>
      </c>
      <c r="C11" s="2" t="s">
        <v>17</v>
      </c>
      <c r="D11" s="2" t="s">
        <v>10</v>
      </c>
      <c r="E11" s="2" t="s">
        <v>19</v>
      </c>
      <c r="F11" s="2">
        <v>18</v>
      </c>
      <c r="G11" s="4">
        <v>56.33</v>
      </c>
      <c r="H11" s="5">
        <f t="shared" si="0"/>
        <v>1013.9399999999999</v>
      </c>
    </row>
    <row r="12" spans="1:8" x14ac:dyDescent="0.3">
      <c r="A12" s="2">
        <v>1469</v>
      </c>
      <c r="B12" s="3">
        <v>45303</v>
      </c>
      <c r="C12" s="2" t="s">
        <v>15</v>
      </c>
      <c r="D12" s="2" t="s">
        <v>13</v>
      </c>
      <c r="E12" s="2" t="s">
        <v>23</v>
      </c>
      <c r="F12" s="2">
        <v>22</v>
      </c>
      <c r="G12" s="4">
        <v>155.78</v>
      </c>
      <c r="H12" s="5">
        <f t="shared" si="0"/>
        <v>3427.16</v>
      </c>
    </row>
    <row r="13" spans="1:8" x14ac:dyDescent="0.3">
      <c r="A13" s="2">
        <v>1216</v>
      </c>
      <c r="B13" s="3">
        <v>45304</v>
      </c>
      <c r="C13" s="2" t="s">
        <v>9</v>
      </c>
      <c r="D13" s="2" t="s">
        <v>18</v>
      </c>
      <c r="E13" s="2" t="s">
        <v>22</v>
      </c>
      <c r="F13" s="2">
        <v>39</v>
      </c>
      <c r="G13" s="4">
        <v>29.96</v>
      </c>
      <c r="H13" s="5">
        <f t="shared" si="0"/>
        <v>1168.44</v>
      </c>
    </row>
    <row r="14" spans="1:8" x14ac:dyDescent="0.3">
      <c r="A14" s="2">
        <v>1266</v>
      </c>
      <c r="B14" s="3">
        <v>45305</v>
      </c>
      <c r="C14" s="2" t="s">
        <v>12</v>
      </c>
      <c r="D14" s="2" t="s">
        <v>13</v>
      </c>
      <c r="E14" s="2" t="s">
        <v>14</v>
      </c>
      <c r="F14" s="2">
        <v>23</v>
      </c>
      <c r="G14" s="4">
        <v>135</v>
      </c>
      <c r="H14" s="5">
        <f t="shared" si="0"/>
        <v>3105</v>
      </c>
    </row>
    <row r="15" spans="1:8" x14ac:dyDescent="0.3">
      <c r="A15" s="2">
        <v>1625</v>
      </c>
      <c r="B15" s="3">
        <v>45310</v>
      </c>
      <c r="C15" s="2" t="s">
        <v>15</v>
      </c>
      <c r="D15" s="2" t="s">
        <v>24</v>
      </c>
      <c r="E15" s="2" t="s">
        <v>23</v>
      </c>
      <c r="F15" s="2">
        <v>20</v>
      </c>
      <c r="G15" s="4">
        <v>235.12</v>
      </c>
      <c r="H15" s="5">
        <f t="shared" si="0"/>
        <v>4702.3999999999996</v>
      </c>
    </row>
    <row r="16" spans="1:8" x14ac:dyDescent="0.3">
      <c r="A16" s="2">
        <v>1301</v>
      </c>
      <c r="B16" s="3">
        <v>45312</v>
      </c>
      <c r="C16" s="2" t="s">
        <v>15</v>
      </c>
      <c r="D16" s="2" t="s">
        <v>10</v>
      </c>
      <c r="E16" s="2" t="s">
        <v>23</v>
      </c>
      <c r="F16" s="2">
        <v>34</v>
      </c>
      <c r="G16" s="4">
        <v>34.89</v>
      </c>
      <c r="H16" s="5">
        <f t="shared" si="0"/>
        <v>1186.26</v>
      </c>
    </row>
    <row r="17" spans="1:8" x14ac:dyDescent="0.3">
      <c r="A17" s="2">
        <v>1424</v>
      </c>
      <c r="B17" s="3">
        <v>45312</v>
      </c>
      <c r="C17" s="2" t="s">
        <v>12</v>
      </c>
      <c r="D17" s="2" t="s">
        <v>18</v>
      </c>
      <c r="E17" s="2" t="s">
        <v>14</v>
      </c>
      <c r="F17" s="2">
        <v>3</v>
      </c>
      <c r="G17" s="4">
        <v>58.7</v>
      </c>
      <c r="H17" s="5">
        <f t="shared" si="0"/>
        <v>176.10000000000002</v>
      </c>
    </row>
    <row r="18" spans="1:8" x14ac:dyDescent="0.3">
      <c r="A18" s="2">
        <v>1562</v>
      </c>
      <c r="B18" s="3">
        <v>45312</v>
      </c>
      <c r="C18" s="2" t="s">
        <v>12</v>
      </c>
      <c r="D18" s="2" t="s">
        <v>21</v>
      </c>
      <c r="E18" s="2" t="s">
        <v>25</v>
      </c>
      <c r="F18" s="2">
        <v>8</v>
      </c>
      <c r="G18" s="4">
        <v>134.21</v>
      </c>
      <c r="H18" s="5">
        <f t="shared" si="0"/>
        <v>1073.68</v>
      </c>
    </row>
    <row r="19" spans="1:8" x14ac:dyDescent="0.3">
      <c r="A19" s="2">
        <v>1234</v>
      </c>
      <c r="B19" s="3">
        <v>45313</v>
      </c>
      <c r="C19" s="2" t="s">
        <v>17</v>
      </c>
      <c r="D19" s="2" t="s">
        <v>21</v>
      </c>
      <c r="E19" s="2" t="s">
        <v>19</v>
      </c>
      <c r="F19" s="2">
        <v>24</v>
      </c>
      <c r="G19" s="4">
        <v>26.29</v>
      </c>
      <c r="H19" s="5">
        <f t="shared" si="0"/>
        <v>630.96</v>
      </c>
    </row>
    <row r="20" spans="1:8" x14ac:dyDescent="0.3">
      <c r="A20" s="2">
        <v>1505</v>
      </c>
      <c r="B20" s="3">
        <v>45313</v>
      </c>
      <c r="C20" s="2" t="s">
        <v>15</v>
      </c>
      <c r="D20" s="2" t="s">
        <v>24</v>
      </c>
      <c r="E20" s="2" t="s">
        <v>23</v>
      </c>
      <c r="F20" s="2">
        <v>5</v>
      </c>
      <c r="G20" s="4">
        <v>236.18</v>
      </c>
      <c r="H20" s="5">
        <f t="shared" si="0"/>
        <v>1180.9000000000001</v>
      </c>
    </row>
    <row r="21" spans="1:8" x14ac:dyDescent="0.3">
      <c r="A21" s="2">
        <v>1208</v>
      </c>
      <c r="B21" s="3">
        <v>45314</v>
      </c>
      <c r="C21" s="2" t="s">
        <v>12</v>
      </c>
      <c r="D21" s="2" t="s">
        <v>24</v>
      </c>
      <c r="E21" s="2" t="s">
        <v>14</v>
      </c>
      <c r="F21" s="2">
        <v>34</v>
      </c>
      <c r="G21" s="4">
        <v>177.2</v>
      </c>
      <c r="H21" s="5">
        <f t="shared" si="0"/>
        <v>6024.7999999999993</v>
      </c>
    </row>
    <row r="22" spans="1:8" x14ac:dyDescent="0.3">
      <c r="A22" s="2">
        <v>1215</v>
      </c>
      <c r="B22" s="3">
        <v>45317</v>
      </c>
      <c r="C22" s="2" t="s">
        <v>15</v>
      </c>
      <c r="D22" s="2" t="s">
        <v>18</v>
      </c>
      <c r="E22" s="2" t="s">
        <v>23</v>
      </c>
      <c r="F22" s="2">
        <v>7</v>
      </c>
      <c r="G22" s="4">
        <v>26.94</v>
      </c>
      <c r="H22" s="5">
        <f t="shared" si="0"/>
        <v>188.58</v>
      </c>
    </row>
    <row r="23" spans="1:8" x14ac:dyDescent="0.3">
      <c r="A23" s="2">
        <v>1473</v>
      </c>
      <c r="B23" s="3">
        <v>45317</v>
      </c>
      <c r="C23" s="2" t="s">
        <v>15</v>
      </c>
      <c r="D23" s="2" t="s">
        <v>18</v>
      </c>
      <c r="E23" s="2" t="s">
        <v>16</v>
      </c>
      <c r="F23" s="2">
        <v>34</v>
      </c>
      <c r="G23" s="4">
        <v>42.59</v>
      </c>
      <c r="H23" s="5">
        <f t="shared" si="0"/>
        <v>1448.0600000000002</v>
      </c>
    </row>
    <row r="24" spans="1:8" x14ac:dyDescent="0.3">
      <c r="A24" s="2">
        <v>1508</v>
      </c>
      <c r="B24" s="3">
        <v>45317</v>
      </c>
      <c r="C24" s="2" t="s">
        <v>17</v>
      </c>
      <c r="D24" s="2" t="s">
        <v>18</v>
      </c>
      <c r="E24" s="2" t="s">
        <v>19</v>
      </c>
      <c r="F24" s="2">
        <v>3</v>
      </c>
      <c r="G24" s="4">
        <v>52.63</v>
      </c>
      <c r="H24" s="5">
        <f t="shared" si="0"/>
        <v>157.89000000000001</v>
      </c>
    </row>
    <row r="25" spans="1:8" x14ac:dyDescent="0.3">
      <c r="A25" s="2">
        <v>1028</v>
      </c>
      <c r="B25" s="3">
        <v>45318</v>
      </c>
      <c r="C25" s="2" t="s">
        <v>12</v>
      </c>
      <c r="D25" s="2" t="s">
        <v>18</v>
      </c>
      <c r="E25" s="2" t="s">
        <v>14</v>
      </c>
      <c r="F25" s="2">
        <v>17</v>
      </c>
      <c r="G25" s="4">
        <v>26.14</v>
      </c>
      <c r="H25" s="5">
        <f t="shared" si="0"/>
        <v>444.38</v>
      </c>
    </row>
    <row r="26" spans="1:8" x14ac:dyDescent="0.3">
      <c r="A26" s="2">
        <v>1195</v>
      </c>
      <c r="B26" s="3">
        <v>45318</v>
      </c>
      <c r="C26" s="2" t="s">
        <v>12</v>
      </c>
      <c r="D26" s="2" t="s">
        <v>10</v>
      </c>
      <c r="E26" s="2" t="s">
        <v>25</v>
      </c>
      <c r="F26" s="2">
        <v>32</v>
      </c>
      <c r="G26" s="4">
        <v>19.690000000000001</v>
      </c>
      <c r="H26" s="5">
        <f t="shared" si="0"/>
        <v>630.08000000000004</v>
      </c>
    </row>
    <row r="27" spans="1:8" x14ac:dyDescent="0.3">
      <c r="A27" s="2">
        <v>1405</v>
      </c>
      <c r="B27" s="3">
        <v>45318</v>
      </c>
      <c r="C27" s="2" t="s">
        <v>12</v>
      </c>
      <c r="D27" s="2" t="s">
        <v>21</v>
      </c>
      <c r="E27" s="2" t="s">
        <v>14</v>
      </c>
      <c r="F27" s="2">
        <v>35</v>
      </c>
      <c r="G27" s="4">
        <v>58.98</v>
      </c>
      <c r="H27" s="5">
        <f t="shared" si="0"/>
        <v>2064.2999999999997</v>
      </c>
    </row>
    <row r="28" spans="1:8" x14ac:dyDescent="0.3">
      <c r="A28" s="2">
        <v>1036</v>
      </c>
      <c r="B28" s="3">
        <v>45320</v>
      </c>
      <c r="C28" s="2" t="s">
        <v>17</v>
      </c>
      <c r="D28" s="2" t="s">
        <v>13</v>
      </c>
      <c r="E28" s="2" t="s">
        <v>19</v>
      </c>
      <c r="F28" s="2">
        <v>39</v>
      </c>
      <c r="G28" s="4">
        <v>58.89</v>
      </c>
      <c r="H28" s="5">
        <f t="shared" si="0"/>
        <v>2296.71</v>
      </c>
    </row>
    <row r="29" spans="1:8" x14ac:dyDescent="0.3">
      <c r="A29" s="2">
        <v>1046</v>
      </c>
      <c r="B29" s="3">
        <v>45320</v>
      </c>
      <c r="C29" s="2" t="s">
        <v>17</v>
      </c>
      <c r="D29" s="2" t="s">
        <v>18</v>
      </c>
      <c r="E29" s="2" t="s">
        <v>19</v>
      </c>
      <c r="F29" s="2">
        <v>38</v>
      </c>
      <c r="G29" s="4">
        <v>52.59</v>
      </c>
      <c r="H29" s="5">
        <f t="shared" si="0"/>
        <v>1998.42</v>
      </c>
    </row>
    <row r="30" spans="1:8" x14ac:dyDescent="0.3">
      <c r="A30" s="2">
        <v>1544</v>
      </c>
      <c r="B30" s="3">
        <v>45320</v>
      </c>
      <c r="C30" s="2" t="s">
        <v>9</v>
      </c>
      <c r="D30" s="2" t="s">
        <v>24</v>
      </c>
      <c r="E30" s="2" t="s">
        <v>11</v>
      </c>
      <c r="F30" s="2">
        <v>14</v>
      </c>
      <c r="G30" s="4">
        <v>253.85</v>
      </c>
      <c r="H30" s="5">
        <f t="shared" si="0"/>
        <v>3553.9</v>
      </c>
    </row>
    <row r="31" spans="1:8" x14ac:dyDescent="0.3">
      <c r="A31" s="2">
        <v>1368</v>
      </c>
      <c r="B31" s="3">
        <v>45322</v>
      </c>
      <c r="C31" s="2" t="s">
        <v>12</v>
      </c>
      <c r="D31" s="2" t="s">
        <v>24</v>
      </c>
      <c r="E31" s="2" t="s">
        <v>25</v>
      </c>
      <c r="F31" s="2">
        <v>39</v>
      </c>
      <c r="G31" s="4">
        <v>163.65</v>
      </c>
      <c r="H31" s="5">
        <f t="shared" si="0"/>
        <v>6382.35</v>
      </c>
    </row>
    <row r="32" spans="1:8" x14ac:dyDescent="0.3">
      <c r="A32" s="2">
        <v>1148</v>
      </c>
      <c r="B32" s="3">
        <v>45323</v>
      </c>
      <c r="C32" s="2" t="s">
        <v>15</v>
      </c>
      <c r="D32" s="2" t="s">
        <v>18</v>
      </c>
      <c r="E32" s="2" t="s">
        <v>16</v>
      </c>
      <c r="F32" s="2">
        <v>3</v>
      </c>
      <c r="G32" s="4">
        <v>18.05</v>
      </c>
      <c r="H32" s="5">
        <f t="shared" si="0"/>
        <v>54.150000000000006</v>
      </c>
    </row>
    <row r="33" spans="1:8" x14ac:dyDescent="0.3">
      <c r="A33" s="2">
        <v>1481</v>
      </c>
      <c r="B33" s="3">
        <v>45324</v>
      </c>
      <c r="C33" s="2" t="s">
        <v>15</v>
      </c>
      <c r="D33" s="2" t="s">
        <v>18</v>
      </c>
      <c r="E33" s="2" t="s">
        <v>16</v>
      </c>
      <c r="F33" s="2">
        <v>4</v>
      </c>
      <c r="G33" s="4">
        <v>20.399999999999999</v>
      </c>
      <c r="H33" s="5">
        <f t="shared" si="0"/>
        <v>81.599999999999994</v>
      </c>
    </row>
    <row r="34" spans="1:8" x14ac:dyDescent="0.3">
      <c r="A34" s="2">
        <v>1509</v>
      </c>
      <c r="B34" s="3">
        <v>45328</v>
      </c>
      <c r="C34" s="2" t="s">
        <v>12</v>
      </c>
      <c r="D34" s="2" t="s">
        <v>18</v>
      </c>
      <c r="E34" s="2" t="s">
        <v>14</v>
      </c>
      <c r="F34" s="2">
        <v>11</v>
      </c>
      <c r="G34" s="4">
        <v>78.22</v>
      </c>
      <c r="H34" s="5">
        <f t="shared" si="0"/>
        <v>860.42</v>
      </c>
    </row>
    <row r="35" spans="1:8" x14ac:dyDescent="0.3">
      <c r="A35" s="2">
        <v>1002</v>
      </c>
      <c r="B35" s="3">
        <v>45330</v>
      </c>
      <c r="C35" s="2" t="s">
        <v>12</v>
      </c>
      <c r="D35" s="2" t="s">
        <v>13</v>
      </c>
      <c r="E35" s="2" t="s">
        <v>14</v>
      </c>
      <c r="F35" s="2">
        <v>6</v>
      </c>
      <c r="G35" s="4">
        <v>37.22</v>
      </c>
      <c r="H35" s="5">
        <f t="shared" si="0"/>
        <v>223.32</v>
      </c>
    </row>
    <row r="36" spans="1:8" x14ac:dyDescent="0.3">
      <c r="A36" s="2">
        <v>1454</v>
      </c>
      <c r="B36" s="3">
        <v>45330</v>
      </c>
      <c r="C36" s="2" t="s">
        <v>17</v>
      </c>
      <c r="D36" s="2" t="s">
        <v>18</v>
      </c>
      <c r="E36" s="2" t="s">
        <v>19</v>
      </c>
      <c r="F36" s="2">
        <v>6</v>
      </c>
      <c r="G36" s="4">
        <v>71.209999999999994</v>
      </c>
      <c r="H36" s="5">
        <f t="shared" si="0"/>
        <v>427.26</v>
      </c>
    </row>
    <row r="37" spans="1:8" x14ac:dyDescent="0.3">
      <c r="A37" s="2">
        <v>1561</v>
      </c>
      <c r="B37" s="3">
        <v>45330</v>
      </c>
      <c r="C37" s="2" t="s">
        <v>9</v>
      </c>
      <c r="D37" s="2" t="s">
        <v>10</v>
      </c>
      <c r="E37" s="2" t="s">
        <v>11</v>
      </c>
      <c r="F37" s="2">
        <v>7</v>
      </c>
      <c r="G37" s="4">
        <v>38.74</v>
      </c>
      <c r="H37" s="5">
        <f t="shared" si="0"/>
        <v>271.18</v>
      </c>
    </row>
    <row r="38" spans="1:8" x14ac:dyDescent="0.3">
      <c r="A38" s="2">
        <v>1649</v>
      </c>
      <c r="B38" s="3">
        <v>45330</v>
      </c>
      <c r="C38" s="2" t="s">
        <v>15</v>
      </c>
      <c r="D38" s="2" t="s">
        <v>10</v>
      </c>
      <c r="E38" s="2" t="s">
        <v>16</v>
      </c>
      <c r="F38" s="2">
        <v>39</v>
      </c>
      <c r="G38" s="4">
        <v>55.4</v>
      </c>
      <c r="H38" s="5">
        <f t="shared" si="0"/>
        <v>2160.6</v>
      </c>
    </row>
    <row r="39" spans="1:8" x14ac:dyDescent="0.3">
      <c r="A39" s="2">
        <v>1261</v>
      </c>
      <c r="B39" s="3">
        <v>45331</v>
      </c>
      <c r="C39" s="2" t="s">
        <v>17</v>
      </c>
      <c r="D39" s="2" t="s">
        <v>10</v>
      </c>
      <c r="E39" s="2" t="s">
        <v>20</v>
      </c>
      <c r="F39" s="2">
        <v>13</v>
      </c>
      <c r="G39" s="4">
        <v>18.04</v>
      </c>
      <c r="H39" s="5">
        <f t="shared" si="0"/>
        <v>234.51999999999998</v>
      </c>
    </row>
    <row r="40" spans="1:8" x14ac:dyDescent="0.3">
      <c r="A40" s="2">
        <v>1302</v>
      </c>
      <c r="B40" s="3">
        <v>45332</v>
      </c>
      <c r="C40" s="2" t="s">
        <v>12</v>
      </c>
      <c r="D40" s="2" t="s">
        <v>13</v>
      </c>
      <c r="E40" s="2" t="s">
        <v>14</v>
      </c>
      <c r="F40" s="2">
        <v>1</v>
      </c>
      <c r="G40" s="4">
        <v>103.13</v>
      </c>
      <c r="H40" s="5">
        <f t="shared" si="0"/>
        <v>103.13</v>
      </c>
    </row>
    <row r="41" spans="1:8" x14ac:dyDescent="0.3">
      <c r="A41" s="2">
        <v>1632</v>
      </c>
      <c r="B41" s="3">
        <v>45332</v>
      </c>
      <c r="C41" s="2" t="s">
        <v>12</v>
      </c>
      <c r="D41" s="2" t="s">
        <v>13</v>
      </c>
      <c r="E41" s="2" t="s">
        <v>25</v>
      </c>
      <c r="F41" s="2">
        <v>23</v>
      </c>
      <c r="G41" s="4">
        <v>97.68</v>
      </c>
      <c r="H41" s="5">
        <f t="shared" si="0"/>
        <v>2246.6400000000003</v>
      </c>
    </row>
    <row r="42" spans="1:8" x14ac:dyDescent="0.3">
      <c r="A42" s="2">
        <v>1294</v>
      </c>
      <c r="B42" s="3">
        <v>45333</v>
      </c>
      <c r="C42" s="2" t="s">
        <v>15</v>
      </c>
      <c r="D42" s="2" t="s">
        <v>10</v>
      </c>
      <c r="E42" s="2" t="s">
        <v>16</v>
      </c>
      <c r="F42" s="2">
        <v>4</v>
      </c>
      <c r="G42" s="4">
        <v>37.270000000000003</v>
      </c>
      <c r="H42" s="5">
        <f t="shared" si="0"/>
        <v>149.08000000000001</v>
      </c>
    </row>
    <row r="43" spans="1:8" x14ac:dyDescent="0.3">
      <c r="A43" s="2">
        <v>1407</v>
      </c>
      <c r="B43" s="3">
        <v>45333</v>
      </c>
      <c r="C43" s="2" t="s">
        <v>17</v>
      </c>
      <c r="D43" s="2" t="s">
        <v>13</v>
      </c>
      <c r="E43" s="2" t="s">
        <v>20</v>
      </c>
      <c r="F43" s="2">
        <v>34</v>
      </c>
      <c r="G43" s="4">
        <v>143.38</v>
      </c>
      <c r="H43" s="5">
        <f t="shared" si="0"/>
        <v>4874.92</v>
      </c>
    </row>
    <row r="44" spans="1:8" x14ac:dyDescent="0.3">
      <c r="A44" s="2">
        <v>1187</v>
      </c>
      <c r="B44" s="3">
        <v>45334</v>
      </c>
      <c r="C44" s="2" t="s">
        <v>12</v>
      </c>
      <c r="D44" s="2" t="s">
        <v>21</v>
      </c>
      <c r="E44" s="2" t="s">
        <v>25</v>
      </c>
      <c r="F44" s="2">
        <v>30</v>
      </c>
      <c r="G44" s="4">
        <v>70.680000000000007</v>
      </c>
      <c r="H44" s="5">
        <f t="shared" si="0"/>
        <v>2120.4</v>
      </c>
    </row>
    <row r="45" spans="1:8" x14ac:dyDescent="0.3">
      <c r="A45" s="2">
        <v>1229</v>
      </c>
      <c r="B45" s="3">
        <v>45334</v>
      </c>
      <c r="C45" s="2" t="s">
        <v>9</v>
      </c>
      <c r="D45" s="2" t="s">
        <v>24</v>
      </c>
      <c r="E45" s="2" t="s">
        <v>11</v>
      </c>
      <c r="F45" s="2">
        <v>5</v>
      </c>
      <c r="G45" s="4">
        <v>315.77</v>
      </c>
      <c r="H45" s="5">
        <f t="shared" si="0"/>
        <v>1578.85</v>
      </c>
    </row>
    <row r="46" spans="1:8" x14ac:dyDescent="0.3">
      <c r="A46" s="2">
        <v>1619</v>
      </c>
      <c r="B46" s="3">
        <v>45334</v>
      </c>
      <c r="C46" s="2" t="s">
        <v>9</v>
      </c>
      <c r="D46" s="2" t="s">
        <v>13</v>
      </c>
      <c r="E46" s="2" t="s">
        <v>22</v>
      </c>
      <c r="F46" s="2">
        <v>38</v>
      </c>
      <c r="G46" s="4">
        <v>157.68</v>
      </c>
      <c r="H46" s="5">
        <f t="shared" si="0"/>
        <v>5991.84</v>
      </c>
    </row>
    <row r="47" spans="1:8" x14ac:dyDescent="0.3">
      <c r="A47" s="2">
        <v>1644</v>
      </c>
      <c r="B47" s="3">
        <v>45334</v>
      </c>
      <c r="C47" s="2" t="s">
        <v>9</v>
      </c>
      <c r="D47" s="2" t="s">
        <v>10</v>
      </c>
      <c r="E47" s="2" t="s">
        <v>11</v>
      </c>
      <c r="F47" s="2">
        <v>22</v>
      </c>
      <c r="G47" s="4">
        <v>50.73</v>
      </c>
      <c r="H47" s="5">
        <f t="shared" si="0"/>
        <v>1116.06</v>
      </c>
    </row>
    <row r="48" spans="1:8" x14ac:dyDescent="0.3">
      <c r="A48" s="2">
        <v>1151</v>
      </c>
      <c r="B48" s="3">
        <v>45336</v>
      </c>
      <c r="C48" s="2" t="s">
        <v>17</v>
      </c>
      <c r="D48" s="2" t="s">
        <v>21</v>
      </c>
      <c r="E48" s="2" t="s">
        <v>19</v>
      </c>
      <c r="F48" s="2">
        <v>39</v>
      </c>
      <c r="G48" s="4">
        <v>58.66</v>
      </c>
      <c r="H48" s="5">
        <f t="shared" si="0"/>
        <v>2287.7399999999998</v>
      </c>
    </row>
    <row r="49" spans="1:8" x14ac:dyDescent="0.3">
      <c r="A49" s="2">
        <v>1534</v>
      </c>
      <c r="B49" s="3">
        <v>45338</v>
      </c>
      <c r="C49" s="2" t="s">
        <v>12</v>
      </c>
      <c r="D49" s="2" t="s">
        <v>10</v>
      </c>
      <c r="E49" s="2" t="s">
        <v>14</v>
      </c>
      <c r="F49" s="2">
        <v>39</v>
      </c>
      <c r="G49" s="4">
        <v>48.8</v>
      </c>
      <c r="H49" s="5">
        <f t="shared" si="0"/>
        <v>1903.1999999999998</v>
      </c>
    </row>
    <row r="50" spans="1:8" x14ac:dyDescent="0.3">
      <c r="A50" s="2">
        <v>1096</v>
      </c>
      <c r="B50" s="3">
        <v>45339</v>
      </c>
      <c r="C50" s="2" t="s">
        <v>9</v>
      </c>
      <c r="D50" s="2" t="s">
        <v>24</v>
      </c>
      <c r="E50" s="2" t="s">
        <v>11</v>
      </c>
      <c r="F50" s="2">
        <v>20</v>
      </c>
      <c r="G50" s="4">
        <v>186.17</v>
      </c>
      <c r="H50" s="5">
        <f t="shared" si="0"/>
        <v>3723.3999999999996</v>
      </c>
    </row>
    <row r="51" spans="1:8" x14ac:dyDescent="0.3">
      <c r="A51" s="2">
        <v>1207</v>
      </c>
      <c r="B51" s="3">
        <v>45340</v>
      </c>
      <c r="C51" s="2" t="s">
        <v>9</v>
      </c>
      <c r="D51" s="2" t="s">
        <v>13</v>
      </c>
      <c r="E51" s="2" t="s">
        <v>11</v>
      </c>
      <c r="F51" s="2">
        <v>3</v>
      </c>
      <c r="G51" s="4">
        <v>132.19</v>
      </c>
      <c r="H51" s="5">
        <f t="shared" si="0"/>
        <v>396.57</v>
      </c>
    </row>
    <row r="52" spans="1:8" x14ac:dyDescent="0.3">
      <c r="A52" s="2">
        <v>1614</v>
      </c>
      <c r="B52" s="3">
        <v>45342</v>
      </c>
      <c r="C52" s="2" t="s">
        <v>9</v>
      </c>
      <c r="D52" s="2" t="s">
        <v>24</v>
      </c>
      <c r="E52" s="2" t="s">
        <v>22</v>
      </c>
      <c r="F52" s="2">
        <v>36</v>
      </c>
      <c r="G52" s="4">
        <v>137.65</v>
      </c>
      <c r="H52" s="5">
        <f t="shared" si="0"/>
        <v>4955.4000000000005</v>
      </c>
    </row>
    <row r="53" spans="1:8" x14ac:dyDescent="0.3">
      <c r="A53" s="2">
        <v>1092</v>
      </c>
      <c r="B53" s="3">
        <v>45343</v>
      </c>
      <c r="C53" s="2" t="s">
        <v>12</v>
      </c>
      <c r="D53" s="2" t="s">
        <v>10</v>
      </c>
      <c r="E53" s="2" t="s">
        <v>25</v>
      </c>
      <c r="F53" s="2">
        <v>1</v>
      </c>
      <c r="G53" s="4">
        <v>34.46</v>
      </c>
      <c r="H53" s="5">
        <f t="shared" si="0"/>
        <v>34.46</v>
      </c>
    </row>
    <row r="54" spans="1:8" x14ac:dyDescent="0.3">
      <c r="A54" s="2">
        <v>1175</v>
      </c>
      <c r="B54" s="3">
        <v>45344</v>
      </c>
      <c r="C54" s="2" t="s">
        <v>17</v>
      </c>
      <c r="D54" s="2" t="s">
        <v>10</v>
      </c>
      <c r="E54" s="2" t="s">
        <v>19</v>
      </c>
      <c r="F54" s="2">
        <v>2</v>
      </c>
      <c r="G54" s="4">
        <v>30.7</v>
      </c>
      <c r="H54" s="5">
        <f t="shared" si="0"/>
        <v>61.4</v>
      </c>
    </row>
    <row r="55" spans="1:8" x14ac:dyDescent="0.3">
      <c r="A55" s="2">
        <v>1338</v>
      </c>
      <c r="B55" s="3">
        <v>45349</v>
      </c>
      <c r="C55" s="2" t="s">
        <v>12</v>
      </c>
      <c r="D55" s="2" t="s">
        <v>18</v>
      </c>
      <c r="E55" s="2" t="s">
        <v>14</v>
      </c>
      <c r="F55" s="2">
        <v>13</v>
      </c>
      <c r="G55" s="4">
        <v>71.62</v>
      </c>
      <c r="H55" s="5">
        <f t="shared" si="0"/>
        <v>931.06000000000006</v>
      </c>
    </row>
    <row r="56" spans="1:8" x14ac:dyDescent="0.3">
      <c r="A56" s="2">
        <v>1275</v>
      </c>
      <c r="B56" s="3">
        <v>45350</v>
      </c>
      <c r="C56" s="2" t="s">
        <v>12</v>
      </c>
      <c r="D56" s="2" t="s">
        <v>10</v>
      </c>
      <c r="E56" s="2" t="s">
        <v>14</v>
      </c>
      <c r="F56" s="2">
        <v>9</v>
      </c>
      <c r="G56" s="4">
        <v>49.2</v>
      </c>
      <c r="H56" s="5">
        <f t="shared" si="0"/>
        <v>442.8</v>
      </c>
    </row>
    <row r="57" spans="1:8" x14ac:dyDescent="0.3">
      <c r="A57" s="2">
        <v>1498</v>
      </c>
      <c r="B57" s="3">
        <v>45350</v>
      </c>
      <c r="C57" s="2" t="s">
        <v>15</v>
      </c>
      <c r="D57" s="2" t="s">
        <v>18</v>
      </c>
      <c r="E57" s="2" t="s">
        <v>23</v>
      </c>
      <c r="F57" s="2">
        <v>1</v>
      </c>
      <c r="G57" s="4">
        <v>42.93</v>
      </c>
      <c r="H57" s="5">
        <f t="shared" si="0"/>
        <v>42.93</v>
      </c>
    </row>
    <row r="58" spans="1:8" x14ac:dyDescent="0.3">
      <c r="A58" s="2">
        <v>1587</v>
      </c>
      <c r="B58" s="3">
        <v>45351</v>
      </c>
      <c r="C58" s="2" t="s">
        <v>9</v>
      </c>
      <c r="D58" s="2" t="s">
        <v>21</v>
      </c>
      <c r="E58" s="2" t="s">
        <v>22</v>
      </c>
      <c r="F58" s="2">
        <v>17</v>
      </c>
      <c r="G58" s="4">
        <v>139.19999999999999</v>
      </c>
      <c r="H58" s="5">
        <f t="shared" si="0"/>
        <v>2366.3999999999996</v>
      </c>
    </row>
    <row r="59" spans="1:8" x14ac:dyDescent="0.3">
      <c r="A59" s="2">
        <v>1337</v>
      </c>
      <c r="B59" s="3">
        <v>45352</v>
      </c>
      <c r="C59" s="2" t="s">
        <v>12</v>
      </c>
      <c r="D59" s="2" t="s">
        <v>24</v>
      </c>
      <c r="E59" s="2" t="s">
        <v>14</v>
      </c>
      <c r="F59" s="2">
        <v>31</v>
      </c>
      <c r="G59" s="4">
        <v>331.64</v>
      </c>
      <c r="H59" s="5">
        <f t="shared" si="0"/>
        <v>10280.84</v>
      </c>
    </row>
    <row r="60" spans="1:8" x14ac:dyDescent="0.3">
      <c r="A60" s="2">
        <v>1549</v>
      </c>
      <c r="B60" s="3">
        <v>45353</v>
      </c>
      <c r="C60" s="2" t="s">
        <v>9</v>
      </c>
      <c r="D60" s="2" t="s">
        <v>10</v>
      </c>
      <c r="E60" s="2" t="s">
        <v>22</v>
      </c>
      <c r="F60" s="2">
        <v>25</v>
      </c>
      <c r="G60" s="4">
        <v>30.5</v>
      </c>
      <c r="H60" s="5">
        <f t="shared" si="0"/>
        <v>762.5</v>
      </c>
    </row>
    <row r="61" spans="1:8" x14ac:dyDescent="0.3">
      <c r="A61" s="2">
        <v>1015</v>
      </c>
      <c r="B61" s="3">
        <v>45354</v>
      </c>
      <c r="C61" s="2" t="s">
        <v>17</v>
      </c>
      <c r="D61" s="2" t="s">
        <v>10</v>
      </c>
      <c r="E61" s="2" t="s">
        <v>19</v>
      </c>
      <c r="F61" s="2">
        <v>25</v>
      </c>
      <c r="G61" s="4">
        <v>24.23</v>
      </c>
      <c r="H61" s="5">
        <f t="shared" si="0"/>
        <v>605.75</v>
      </c>
    </row>
    <row r="62" spans="1:8" x14ac:dyDescent="0.3">
      <c r="A62" s="2">
        <v>1004</v>
      </c>
      <c r="B62" s="3">
        <v>45355</v>
      </c>
      <c r="C62" s="2" t="s">
        <v>15</v>
      </c>
      <c r="D62" s="2" t="s">
        <v>24</v>
      </c>
      <c r="E62" s="2" t="s">
        <v>23</v>
      </c>
      <c r="F62" s="2">
        <v>9</v>
      </c>
      <c r="G62" s="4">
        <v>94.91</v>
      </c>
      <c r="H62" s="5">
        <f t="shared" si="0"/>
        <v>854.18999999999994</v>
      </c>
    </row>
    <row r="63" spans="1:8" x14ac:dyDescent="0.3">
      <c r="A63" s="2">
        <v>1516</v>
      </c>
      <c r="B63" s="3">
        <v>45357</v>
      </c>
      <c r="C63" s="2" t="s">
        <v>17</v>
      </c>
      <c r="D63" s="2" t="s">
        <v>21</v>
      </c>
      <c r="E63" s="2" t="s">
        <v>20</v>
      </c>
      <c r="F63" s="2">
        <v>3</v>
      </c>
      <c r="G63" s="4">
        <v>148.97999999999999</v>
      </c>
      <c r="H63" s="5">
        <f t="shared" si="0"/>
        <v>446.93999999999994</v>
      </c>
    </row>
    <row r="64" spans="1:8" x14ac:dyDescent="0.3">
      <c r="A64" s="2">
        <v>1578</v>
      </c>
      <c r="B64" s="3">
        <v>45359</v>
      </c>
      <c r="C64" s="2" t="s">
        <v>17</v>
      </c>
      <c r="D64" s="2" t="s">
        <v>10</v>
      </c>
      <c r="E64" s="2" t="s">
        <v>20</v>
      </c>
      <c r="F64" s="2">
        <v>24</v>
      </c>
      <c r="G64" s="4">
        <v>36.369999999999997</v>
      </c>
      <c r="H64" s="5">
        <f t="shared" si="0"/>
        <v>872.87999999999988</v>
      </c>
    </row>
    <row r="65" spans="1:8" x14ac:dyDescent="0.3">
      <c r="A65" s="2">
        <v>1428</v>
      </c>
      <c r="B65" s="3">
        <v>45361</v>
      </c>
      <c r="C65" s="2" t="s">
        <v>9</v>
      </c>
      <c r="D65" s="2" t="s">
        <v>13</v>
      </c>
      <c r="E65" s="2" t="s">
        <v>11</v>
      </c>
      <c r="F65" s="2">
        <v>26</v>
      </c>
      <c r="G65" s="4">
        <v>97.36</v>
      </c>
      <c r="H65" s="5">
        <f t="shared" si="0"/>
        <v>2531.36</v>
      </c>
    </row>
    <row r="66" spans="1:8" x14ac:dyDescent="0.3">
      <c r="A66" s="2">
        <v>1269</v>
      </c>
      <c r="B66" s="3">
        <v>45362</v>
      </c>
      <c r="C66" s="2" t="s">
        <v>9</v>
      </c>
      <c r="D66" s="2" t="s">
        <v>13</v>
      </c>
      <c r="E66" s="2" t="s">
        <v>11</v>
      </c>
      <c r="F66" s="2">
        <v>10</v>
      </c>
      <c r="G66" s="4">
        <v>167.56</v>
      </c>
      <c r="H66" s="5">
        <f t="shared" ref="H66:H129" si="1">F66*G66</f>
        <v>1675.6</v>
      </c>
    </row>
    <row r="67" spans="1:8" x14ac:dyDescent="0.3">
      <c r="A67" s="2">
        <v>1277</v>
      </c>
      <c r="B67" s="3">
        <v>45365</v>
      </c>
      <c r="C67" s="2" t="s">
        <v>17</v>
      </c>
      <c r="D67" s="2" t="s">
        <v>21</v>
      </c>
      <c r="E67" s="2" t="s">
        <v>20</v>
      </c>
      <c r="F67" s="2">
        <v>15</v>
      </c>
      <c r="G67" s="4">
        <v>95.2</v>
      </c>
      <c r="H67" s="5">
        <f t="shared" si="1"/>
        <v>1428</v>
      </c>
    </row>
    <row r="68" spans="1:8" x14ac:dyDescent="0.3">
      <c r="A68" s="2">
        <v>1102</v>
      </c>
      <c r="B68" s="3">
        <v>45368</v>
      </c>
      <c r="C68" s="2" t="s">
        <v>12</v>
      </c>
      <c r="D68" s="2" t="s">
        <v>18</v>
      </c>
      <c r="E68" s="2" t="s">
        <v>14</v>
      </c>
      <c r="F68" s="2">
        <v>9</v>
      </c>
      <c r="G68" s="4">
        <v>86.46</v>
      </c>
      <c r="H68" s="5">
        <f t="shared" si="1"/>
        <v>778.14</v>
      </c>
    </row>
    <row r="69" spans="1:8" x14ac:dyDescent="0.3">
      <c r="A69" s="2">
        <v>1101</v>
      </c>
      <c r="B69" s="3">
        <v>45370</v>
      </c>
      <c r="C69" s="2" t="s">
        <v>15</v>
      </c>
      <c r="D69" s="2" t="s">
        <v>21</v>
      </c>
      <c r="E69" s="2" t="s">
        <v>16</v>
      </c>
      <c r="F69" s="2">
        <v>14</v>
      </c>
      <c r="G69" s="4">
        <v>47.28</v>
      </c>
      <c r="H69" s="5">
        <f t="shared" si="1"/>
        <v>661.92000000000007</v>
      </c>
    </row>
    <row r="70" spans="1:8" x14ac:dyDescent="0.3">
      <c r="A70" s="2">
        <v>1633</v>
      </c>
      <c r="B70" s="3">
        <v>45370</v>
      </c>
      <c r="C70" s="2" t="s">
        <v>17</v>
      </c>
      <c r="D70" s="2" t="s">
        <v>18</v>
      </c>
      <c r="E70" s="2" t="s">
        <v>19</v>
      </c>
      <c r="F70" s="2">
        <v>6</v>
      </c>
      <c r="G70" s="4">
        <v>27.73</v>
      </c>
      <c r="H70" s="5">
        <f t="shared" si="1"/>
        <v>166.38</v>
      </c>
    </row>
    <row r="71" spans="1:8" x14ac:dyDescent="0.3">
      <c r="A71" s="2">
        <v>1565</v>
      </c>
      <c r="B71" s="3">
        <v>45371</v>
      </c>
      <c r="C71" s="2" t="s">
        <v>17</v>
      </c>
      <c r="D71" s="2" t="s">
        <v>18</v>
      </c>
      <c r="E71" s="2" t="s">
        <v>20</v>
      </c>
      <c r="F71" s="2">
        <v>18</v>
      </c>
      <c r="G71" s="4">
        <v>69.849999999999994</v>
      </c>
      <c r="H71" s="5">
        <f t="shared" si="1"/>
        <v>1257.3</v>
      </c>
    </row>
    <row r="72" spans="1:8" x14ac:dyDescent="0.3">
      <c r="A72" s="2">
        <v>1281</v>
      </c>
      <c r="B72" s="3">
        <v>45372</v>
      </c>
      <c r="C72" s="2" t="s">
        <v>15</v>
      </c>
      <c r="D72" s="2" t="s">
        <v>24</v>
      </c>
      <c r="E72" s="2" t="s">
        <v>23</v>
      </c>
      <c r="F72" s="2">
        <v>15</v>
      </c>
      <c r="G72" s="4">
        <v>164.64</v>
      </c>
      <c r="H72" s="5">
        <f t="shared" si="1"/>
        <v>2469.6</v>
      </c>
    </row>
    <row r="73" spans="1:8" x14ac:dyDescent="0.3">
      <c r="A73" s="2">
        <v>1594</v>
      </c>
      <c r="B73" s="3">
        <v>45373</v>
      </c>
      <c r="C73" s="2" t="s">
        <v>15</v>
      </c>
      <c r="D73" s="2" t="s">
        <v>13</v>
      </c>
      <c r="E73" s="2" t="s">
        <v>16</v>
      </c>
      <c r="F73" s="2">
        <v>32</v>
      </c>
      <c r="G73" s="4">
        <v>117.02</v>
      </c>
      <c r="H73" s="5">
        <f t="shared" si="1"/>
        <v>3744.64</v>
      </c>
    </row>
    <row r="74" spans="1:8" x14ac:dyDescent="0.3">
      <c r="A74" s="2">
        <v>1010</v>
      </c>
      <c r="B74" s="3">
        <v>45375</v>
      </c>
      <c r="C74" s="2" t="s">
        <v>17</v>
      </c>
      <c r="D74" s="2" t="s">
        <v>10</v>
      </c>
      <c r="E74" s="2" t="s">
        <v>19</v>
      </c>
      <c r="F74" s="2">
        <v>29</v>
      </c>
      <c r="G74" s="4">
        <v>53.76</v>
      </c>
      <c r="H74" s="5">
        <f t="shared" si="1"/>
        <v>1559.04</v>
      </c>
    </row>
    <row r="75" spans="1:8" x14ac:dyDescent="0.3">
      <c r="A75" s="2">
        <v>1134</v>
      </c>
      <c r="B75" s="3">
        <v>45375</v>
      </c>
      <c r="C75" s="2" t="s">
        <v>17</v>
      </c>
      <c r="D75" s="2" t="s">
        <v>18</v>
      </c>
      <c r="E75" s="2" t="s">
        <v>19</v>
      </c>
      <c r="F75" s="2">
        <v>15</v>
      </c>
      <c r="G75" s="4">
        <v>84.39</v>
      </c>
      <c r="H75" s="5">
        <f t="shared" si="1"/>
        <v>1265.8499999999999</v>
      </c>
    </row>
    <row r="76" spans="1:8" x14ac:dyDescent="0.3">
      <c r="A76" s="2">
        <v>1021</v>
      </c>
      <c r="B76" s="3">
        <v>45376</v>
      </c>
      <c r="C76" s="2" t="s">
        <v>9</v>
      </c>
      <c r="D76" s="2" t="s">
        <v>18</v>
      </c>
      <c r="E76" s="2" t="s">
        <v>11</v>
      </c>
      <c r="F76" s="2">
        <v>1</v>
      </c>
      <c r="G76" s="4">
        <v>64.39</v>
      </c>
      <c r="H76" s="5">
        <f t="shared" si="1"/>
        <v>64.39</v>
      </c>
    </row>
    <row r="77" spans="1:8" x14ac:dyDescent="0.3">
      <c r="A77" s="2">
        <v>1069</v>
      </c>
      <c r="B77" s="3">
        <v>45377</v>
      </c>
      <c r="C77" s="2" t="s">
        <v>9</v>
      </c>
      <c r="D77" s="2" t="s">
        <v>24</v>
      </c>
      <c r="E77" s="2" t="s">
        <v>22</v>
      </c>
      <c r="F77" s="2">
        <v>30</v>
      </c>
      <c r="G77" s="4">
        <v>356.09</v>
      </c>
      <c r="H77" s="5">
        <f t="shared" si="1"/>
        <v>10682.699999999999</v>
      </c>
    </row>
    <row r="78" spans="1:8" x14ac:dyDescent="0.3">
      <c r="A78" s="2">
        <v>1065</v>
      </c>
      <c r="B78" s="3">
        <v>45378</v>
      </c>
      <c r="C78" s="2" t="s">
        <v>17</v>
      </c>
      <c r="D78" s="2" t="s">
        <v>21</v>
      </c>
      <c r="E78" s="2" t="s">
        <v>20</v>
      </c>
      <c r="F78" s="2">
        <v>12</v>
      </c>
      <c r="G78" s="4">
        <v>137.77000000000001</v>
      </c>
      <c r="H78" s="5">
        <f t="shared" si="1"/>
        <v>1653.2400000000002</v>
      </c>
    </row>
    <row r="79" spans="1:8" x14ac:dyDescent="0.3">
      <c r="A79" s="2">
        <v>1645</v>
      </c>
      <c r="B79" s="3">
        <v>45378</v>
      </c>
      <c r="C79" s="2" t="s">
        <v>15</v>
      </c>
      <c r="D79" s="2" t="s">
        <v>10</v>
      </c>
      <c r="E79" s="2" t="s">
        <v>23</v>
      </c>
      <c r="F79" s="2">
        <v>27</v>
      </c>
      <c r="G79" s="4">
        <v>10.54</v>
      </c>
      <c r="H79" s="5">
        <f t="shared" si="1"/>
        <v>284.58</v>
      </c>
    </row>
    <row r="80" spans="1:8" x14ac:dyDescent="0.3">
      <c r="A80" s="2">
        <v>1243</v>
      </c>
      <c r="B80" s="3">
        <v>45380</v>
      </c>
      <c r="C80" s="2" t="s">
        <v>15</v>
      </c>
      <c r="D80" s="2" t="s">
        <v>24</v>
      </c>
      <c r="E80" s="2" t="s">
        <v>16</v>
      </c>
      <c r="F80" s="2">
        <v>17</v>
      </c>
      <c r="G80" s="4">
        <v>145.96</v>
      </c>
      <c r="H80" s="5">
        <f t="shared" si="1"/>
        <v>2481.3200000000002</v>
      </c>
    </row>
    <row r="81" spans="1:8" x14ac:dyDescent="0.3">
      <c r="A81" s="2">
        <v>1306</v>
      </c>
      <c r="B81" s="3">
        <v>45382</v>
      </c>
      <c r="C81" s="2" t="s">
        <v>9</v>
      </c>
      <c r="D81" s="2" t="s">
        <v>24</v>
      </c>
      <c r="E81" s="2" t="s">
        <v>11</v>
      </c>
      <c r="F81" s="2">
        <v>18</v>
      </c>
      <c r="G81" s="4">
        <v>231.15</v>
      </c>
      <c r="H81" s="5">
        <f t="shared" si="1"/>
        <v>4160.7</v>
      </c>
    </row>
    <row r="82" spans="1:8" x14ac:dyDescent="0.3">
      <c r="A82" s="2">
        <v>1554</v>
      </c>
      <c r="B82" s="3">
        <v>45382</v>
      </c>
      <c r="C82" s="2" t="s">
        <v>17</v>
      </c>
      <c r="D82" s="2" t="s">
        <v>24</v>
      </c>
      <c r="E82" s="2" t="s">
        <v>19</v>
      </c>
      <c r="F82" s="2">
        <v>16</v>
      </c>
      <c r="G82" s="4">
        <v>359.07</v>
      </c>
      <c r="H82" s="5">
        <f t="shared" si="1"/>
        <v>5745.12</v>
      </c>
    </row>
    <row r="83" spans="1:8" x14ac:dyDescent="0.3">
      <c r="A83" s="2">
        <v>1589</v>
      </c>
      <c r="B83" s="3">
        <v>45382</v>
      </c>
      <c r="C83" s="2" t="s">
        <v>9</v>
      </c>
      <c r="D83" s="2" t="s">
        <v>18</v>
      </c>
      <c r="E83" s="2" t="s">
        <v>22</v>
      </c>
      <c r="F83" s="2">
        <v>19</v>
      </c>
      <c r="G83" s="4">
        <v>86.88</v>
      </c>
      <c r="H83" s="5">
        <f t="shared" si="1"/>
        <v>1650.7199999999998</v>
      </c>
    </row>
    <row r="84" spans="1:8" x14ac:dyDescent="0.3">
      <c r="A84" s="2">
        <v>1361</v>
      </c>
      <c r="B84" s="3">
        <v>45384</v>
      </c>
      <c r="C84" s="2" t="s">
        <v>12</v>
      </c>
      <c r="D84" s="2" t="s">
        <v>13</v>
      </c>
      <c r="E84" s="2" t="s">
        <v>14</v>
      </c>
      <c r="F84" s="2">
        <v>18</v>
      </c>
      <c r="G84" s="4">
        <v>48.32</v>
      </c>
      <c r="H84" s="5">
        <f t="shared" si="1"/>
        <v>869.76</v>
      </c>
    </row>
    <row r="85" spans="1:8" x14ac:dyDescent="0.3">
      <c r="A85" s="2">
        <v>1538</v>
      </c>
      <c r="B85" s="3">
        <v>45384</v>
      </c>
      <c r="C85" s="2" t="s">
        <v>17</v>
      </c>
      <c r="D85" s="2" t="s">
        <v>21</v>
      </c>
      <c r="E85" s="2" t="s">
        <v>19</v>
      </c>
      <c r="F85" s="2">
        <v>38</v>
      </c>
      <c r="G85" s="4">
        <v>64.73</v>
      </c>
      <c r="H85" s="5">
        <f t="shared" si="1"/>
        <v>2459.7400000000002</v>
      </c>
    </row>
    <row r="86" spans="1:8" x14ac:dyDescent="0.3">
      <c r="A86" s="2">
        <v>1085</v>
      </c>
      <c r="B86" s="3">
        <v>45385</v>
      </c>
      <c r="C86" s="2" t="s">
        <v>17</v>
      </c>
      <c r="D86" s="2" t="s">
        <v>24</v>
      </c>
      <c r="E86" s="2" t="s">
        <v>20</v>
      </c>
      <c r="F86" s="2">
        <v>3</v>
      </c>
      <c r="G86" s="4">
        <v>207.84</v>
      </c>
      <c r="H86" s="5">
        <f t="shared" si="1"/>
        <v>623.52</v>
      </c>
    </row>
    <row r="87" spans="1:8" x14ac:dyDescent="0.3">
      <c r="A87" s="2">
        <v>1617</v>
      </c>
      <c r="B87" s="3">
        <v>45385</v>
      </c>
      <c r="C87" s="2" t="s">
        <v>12</v>
      </c>
      <c r="D87" s="2" t="s">
        <v>13</v>
      </c>
      <c r="E87" s="2" t="s">
        <v>25</v>
      </c>
      <c r="F87" s="2">
        <v>17</v>
      </c>
      <c r="G87" s="4">
        <v>140.30000000000001</v>
      </c>
      <c r="H87" s="5">
        <f t="shared" si="1"/>
        <v>2385.1000000000004</v>
      </c>
    </row>
    <row r="88" spans="1:8" x14ac:dyDescent="0.3">
      <c r="A88" s="2">
        <v>1062</v>
      </c>
      <c r="B88" s="3">
        <v>45386</v>
      </c>
      <c r="C88" s="2" t="s">
        <v>17</v>
      </c>
      <c r="D88" s="2" t="s">
        <v>24</v>
      </c>
      <c r="E88" s="2" t="s">
        <v>19</v>
      </c>
      <c r="F88" s="2">
        <v>29</v>
      </c>
      <c r="G88" s="4">
        <v>257.3</v>
      </c>
      <c r="H88" s="5">
        <f t="shared" si="1"/>
        <v>7461.7000000000007</v>
      </c>
    </row>
    <row r="89" spans="1:8" x14ac:dyDescent="0.3">
      <c r="A89" s="2">
        <v>1325</v>
      </c>
      <c r="B89" s="3">
        <v>45386</v>
      </c>
      <c r="C89" s="2" t="s">
        <v>9</v>
      </c>
      <c r="D89" s="2" t="s">
        <v>21</v>
      </c>
      <c r="E89" s="2" t="s">
        <v>22</v>
      </c>
      <c r="F89" s="2">
        <v>23</v>
      </c>
      <c r="G89" s="4">
        <v>95.12</v>
      </c>
      <c r="H89" s="5">
        <f t="shared" si="1"/>
        <v>2187.7600000000002</v>
      </c>
    </row>
    <row r="90" spans="1:8" x14ac:dyDescent="0.3">
      <c r="A90" s="2">
        <v>1001</v>
      </c>
      <c r="B90" s="3">
        <v>45388</v>
      </c>
      <c r="C90" s="2" t="s">
        <v>17</v>
      </c>
      <c r="D90" s="2" t="s">
        <v>10</v>
      </c>
      <c r="E90" s="2" t="s">
        <v>20</v>
      </c>
      <c r="F90" s="2">
        <v>14</v>
      </c>
      <c r="G90" s="4">
        <v>55.49</v>
      </c>
      <c r="H90" s="5">
        <f t="shared" si="1"/>
        <v>776.86</v>
      </c>
    </row>
    <row r="91" spans="1:8" x14ac:dyDescent="0.3">
      <c r="A91" s="2">
        <v>1287</v>
      </c>
      <c r="B91" s="3">
        <v>45388</v>
      </c>
      <c r="C91" s="2" t="s">
        <v>15</v>
      </c>
      <c r="D91" s="2" t="s">
        <v>13</v>
      </c>
      <c r="E91" s="2" t="s">
        <v>23</v>
      </c>
      <c r="F91" s="2">
        <v>27</v>
      </c>
      <c r="G91" s="4">
        <v>30.93</v>
      </c>
      <c r="H91" s="5">
        <f t="shared" si="1"/>
        <v>835.11</v>
      </c>
    </row>
    <row r="92" spans="1:8" x14ac:dyDescent="0.3">
      <c r="A92" s="2">
        <v>1329</v>
      </c>
      <c r="B92" s="3">
        <v>45388</v>
      </c>
      <c r="C92" s="2" t="s">
        <v>12</v>
      </c>
      <c r="D92" s="2" t="s">
        <v>18</v>
      </c>
      <c r="E92" s="2" t="s">
        <v>14</v>
      </c>
      <c r="F92" s="2">
        <v>14</v>
      </c>
      <c r="G92" s="4">
        <v>59</v>
      </c>
      <c r="H92" s="5">
        <f t="shared" si="1"/>
        <v>826</v>
      </c>
    </row>
    <row r="93" spans="1:8" x14ac:dyDescent="0.3">
      <c r="A93" s="2">
        <v>1239</v>
      </c>
      <c r="B93" s="3">
        <v>45389</v>
      </c>
      <c r="C93" s="2" t="s">
        <v>15</v>
      </c>
      <c r="D93" s="2" t="s">
        <v>18</v>
      </c>
      <c r="E93" s="2" t="s">
        <v>16</v>
      </c>
      <c r="F93" s="2">
        <v>33</v>
      </c>
      <c r="G93" s="4">
        <v>59.44</v>
      </c>
      <c r="H93" s="5">
        <f t="shared" si="1"/>
        <v>1961.52</v>
      </c>
    </row>
    <row r="94" spans="1:8" x14ac:dyDescent="0.3">
      <c r="A94" s="2">
        <v>1416</v>
      </c>
      <c r="B94" s="3">
        <v>45392</v>
      </c>
      <c r="C94" s="2" t="s">
        <v>12</v>
      </c>
      <c r="D94" s="2" t="s">
        <v>24</v>
      </c>
      <c r="E94" s="2" t="s">
        <v>25</v>
      </c>
      <c r="F94" s="2">
        <v>36</v>
      </c>
      <c r="G94" s="4">
        <v>136.06</v>
      </c>
      <c r="H94" s="5">
        <f t="shared" si="1"/>
        <v>4898.16</v>
      </c>
    </row>
    <row r="95" spans="1:8" x14ac:dyDescent="0.3">
      <c r="A95" s="2">
        <v>1299</v>
      </c>
      <c r="B95" s="3">
        <v>45395</v>
      </c>
      <c r="C95" s="2" t="s">
        <v>12</v>
      </c>
      <c r="D95" s="2" t="s">
        <v>21</v>
      </c>
      <c r="E95" s="2" t="s">
        <v>25</v>
      </c>
      <c r="F95" s="2">
        <v>36</v>
      </c>
      <c r="G95" s="4">
        <v>122.25</v>
      </c>
      <c r="H95" s="5">
        <f t="shared" si="1"/>
        <v>4401</v>
      </c>
    </row>
    <row r="96" spans="1:8" x14ac:dyDescent="0.3">
      <c r="A96" s="2">
        <v>1496</v>
      </c>
      <c r="B96" s="3">
        <v>45396</v>
      </c>
      <c r="C96" s="2" t="s">
        <v>15</v>
      </c>
      <c r="D96" s="2" t="s">
        <v>13</v>
      </c>
      <c r="E96" s="2" t="s">
        <v>23</v>
      </c>
      <c r="F96" s="2">
        <v>13</v>
      </c>
      <c r="G96" s="4">
        <v>194.39</v>
      </c>
      <c r="H96" s="5">
        <f t="shared" si="1"/>
        <v>2527.0699999999997</v>
      </c>
    </row>
    <row r="97" spans="1:8" x14ac:dyDescent="0.3">
      <c r="A97" s="2">
        <v>1600</v>
      </c>
      <c r="B97" s="3">
        <v>45396</v>
      </c>
      <c r="C97" s="2" t="s">
        <v>15</v>
      </c>
      <c r="D97" s="2" t="s">
        <v>24</v>
      </c>
      <c r="E97" s="2" t="s">
        <v>23</v>
      </c>
      <c r="F97" s="2">
        <v>4</v>
      </c>
      <c r="G97" s="4">
        <v>260.61</v>
      </c>
      <c r="H97" s="5">
        <f t="shared" si="1"/>
        <v>1042.44</v>
      </c>
    </row>
    <row r="98" spans="1:8" x14ac:dyDescent="0.3">
      <c r="A98" s="2">
        <v>1025</v>
      </c>
      <c r="B98" s="3">
        <v>45398</v>
      </c>
      <c r="C98" s="2" t="s">
        <v>15</v>
      </c>
      <c r="D98" s="2" t="s">
        <v>13</v>
      </c>
      <c r="E98" s="2" t="s">
        <v>23</v>
      </c>
      <c r="F98" s="2">
        <v>14</v>
      </c>
      <c r="G98" s="4">
        <v>58.36</v>
      </c>
      <c r="H98" s="5">
        <f t="shared" si="1"/>
        <v>817.04</v>
      </c>
    </row>
    <row r="99" spans="1:8" x14ac:dyDescent="0.3">
      <c r="A99" s="2">
        <v>1242</v>
      </c>
      <c r="B99" s="3">
        <v>45399</v>
      </c>
      <c r="C99" s="2" t="s">
        <v>17</v>
      </c>
      <c r="D99" s="2" t="s">
        <v>21</v>
      </c>
      <c r="E99" s="2" t="s">
        <v>20</v>
      </c>
      <c r="F99" s="2">
        <v>26</v>
      </c>
      <c r="G99" s="4">
        <v>72.17</v>
      </c>
      <c r="H99" s="5">
        <f t="shared" si="1"/>
        <v>1876.42</v>
      </c>
    </row>
    <row r="100" spans="1:8" x14ac:dyDescent="0.3">
      <c r="A100" s="2">
        <v>1076</v>
      </c>
      <c r="B100" s="3">
        <v>45400</v>
      </c>
      <c r="C100" s="2" t="s">
        <v>15</v>
      </c>
      <c r="D100" s="2" t="s">
        <v>13</v>
      </c>
      <c r="E100" s="2" t="s">
        <v>16</v>
      </c>
      <c r="F100" s="2">
        <v>20</v>
      </c>
      <c r="G100" s="4">
        <v>194.8</v>
      </c>
      <c r="H100" s="5">
        <f t="shared" si="1"/>
        <v>3896</v>
      </c>
    </row>
    <row r="101" spans="1:8" x14ac:dyDescent="0.3">
      <c r="A101" s="2">
        <v>1231</v>
      </c>
      <c r="B101" s="3">
        <v>45401</v>
      </c>
      <c r="C101" s="2" t="s">
        <v>9</v>
      </c>
      <c r="D101" s="2" t="s">
        <v>18</v>
      </c>
      <c r="E101" s="2" t="s">
        <v>11</v>
      </c>
      <c r="F101" s="2">
        <v>3</v>
      </c>
      <c r="G101" s="4">
        <v>23.4</v>
      </c>
      <c r="H101" s="5">
        <f t="shared" si="1"/>
        <v>70.199999999999989</v>
      </c>
    </row>
    <row r="102" spans="1:8" x14ac:dyDescent="0.3">
      <c r="A102" s="2">
        <v>1419</v>
      </c>
      <c r="B102" s="3">
        <v>45401</v>
      </c>
      <c r="C102" s="2" t="s">
        <v>12</v>
      </c>
      <c r="D102" s="2" t="s">
        <v>24</v>
      </c>
      <c r="E102" s="2" t="s">
        <v>25</v>
      </c>
      <c r="F102" s="2">
        <v>34</v>
      </c>
      <c r="G102" s="4">
        <v>134.57</v>
      </c>
      <c r="H102" s="5">
        <f t="shared" si="1"/>
        <v>4575.38</v>
      </c>
    </row>
    <row r="103" spans="1:8" x14ac:dyDescent="0.3">
      <c r="A103" s="2">
        <v>1635</v>
      </c>
      <c r="B103" s="3">
        <v>45401</v>
      </c>
      <c r="C103" s="2" t="s">
        <v>9</v>
      </c>
      <c r="D103" s="2" t="s">
        <v>24</v>
      </c>
      <c r="E103" s="2" t="s">
        <v>11</v>
      </c>
      <c r="F103" s="2">
        <v>35</v>
      </c>
      <c r="G103" s="4">
        <v>238.76</v>
      </c>
      <c r="H103" s="5">
        <f t="shared" si="1"/>
        <v>8356.6</v>
      </c>
    </row>
    <row r="104" spans="1:8" x14ac:dyDescent="0.3">
      <c r="A104" s="2">
        <v>1548</v>
      </c>
      <c r="B104" s="3">
        <v>45402</v>
      </c>
      <c r="C104" s="2" t="s">
        <v>12</v>
      </c>
      <c r="D104" s="2" t="s">
        <v>24</v>
      </c>
      <c r="E104" s="2" t="s">
        <v>14</v>
      </c>
      <c r="F104" s="2">
        <v>23</v>
      </c>
      <c r="G104" s="4">
        <v>295.75</v>
      </c>
      <c r="H104" s="5">
        <f t="shared" si="1"/>
        <v>6802.25</v>
      </c>
    </row>
    <row r="105" spans="1:8" x14ac:dyDescent="0.3">
      <c r="A105" s="2">
        <v>1126</v>
      </c>
      <c r="B105" s="3">
        <v>45403</v>
      </c>
      <c r="C105" s="2" t="s">
        <v>9</v>
      </c>
      <c r="D105" s="2" t="s">
        <v>18</v>
      </c>
      <c r="E105" s="2" t="s">
        <v>11</v>
      </c>
      <c r="F105" s="2">
        <v>7</v>
      </c>
      <c r="G105" s="4">
        <v>54.18</v>
      </c>
      <c r="H105" s="5">
        <f t="shared" si="1"/>
        <v>379.26</v>
      </c>
    </row>
    <row r="106" spans="1:8" x14ac:dyDescent="0.3">
      <c r="A106" s="2">
        <v>1138</v>
      </c>
      <c r="B106" s="3">
        <v>45403</v>
      </c>
      <c r="C106" s="2" t="s">
        <v>15</v>
      </c>
      <c r="D106" s="2" t="s">
        <v>10</v>
      </c>
      <c r="E106" s="2" t="s">
        <v>23</v>
      </c>
      <c r="F106" s="2">
        <v>32</v>
      </c>
      <c r="G106" s="4">
        <v>54.82</v>
      </c>
      <c r="H106" s="5">
        <f t="shared" si="1"/>
        <v>1754.24</v>
      </c>
    </row>
    <row r="107" spans="1:8" x14ac:dyDescent="0.3">
      <c r="A107" s="2">
        <v>1630</v>
      </c>
      <c r="B107" s="3">
        <v>45404</v>
      </c>
      <c r="C107" s="2" t="s">
        <v>17</v>
      </c>
      <c r="D107" s="2" t="s">
        <v>24</v>
      </c>
      <c r="E107" s="2" t="s">
        <v>19</v>
      </c>
      <c r="F107" s="2">
        <v>36</v>
      </c>
      <c r="G107" s="4">
        <v>110.61</v>
      </c>
      <c r="H107" s="5">
        <f t="shared" si="1"/>
        <v>3981.96</v>
      </c>
    </row>
    <row r="108" spans="1:8" x14ac:dyDescent="0.3">
      <c r="A108" s="2">
        <v>1383</v>
      </c>
      <c r="B108" s="3">
        <v>45407</v>
      </c>
      <c r="C108" s="2" t="s">
        <v>17</v>
      </c>
      <c r="D108" s="2" t="s">
        <v>21</v>
      </c>
      <c r="E108" s="2" t="s">
        <v>20</v>
      </c>
      <c r="F108" s="2">
        <v>39</v>
      </c>
      <c r="G108" s="4">
        <v>35.65</v>
      </c>
      <c r="H108" s="5">
        <f t="shared" si="1"/>
        <v>1390.35</v>
      </c>
    </row>
    <row r="109" spans="1:8" x14ac:dyDescent="0.3">
      <c r="A109" s="2">
        <v>1504</v>
      </c>
      <c r="B109" s="3">
        <v>45407</v>
      </c>
      <c r="C109" s="2" t="s">
        <v>12</v>
      </c>
      <c r="D109" s="2" t="s">
        <v>18</v>
      </c>
      <c r="E109" s="2" t="s">
        <v>14</v>
      </c>
      <c r="F109" s="2">
        <v>29</v>
      </c>
      <c r="G109" s="4">
        <v>41.58</v>
      </c>
      <c r="H109" s="5">
        <f t="shared" si="1"/>
        <v>1205.82</v>
      </c>
    </row>
    <row r="110" spans="1:8" x14ac:dyDescent="0.3">
      <c r="A110" s="2">
        <v>1631</v>
      </c>
      <c r="B110" s="3">
        <v>45407</v>
      </c>
      <c r="C110" s="2" t="s">
        <v>9</v>
      </c>
      <c r="D110" s="2" t="s">
        <v>10</v>
      </c>
      <c r="E110" s="2" t="s">
        <v>22</v>
      </c>
      <c r="F110" s="2">
        <v>3</v>
      </c>
      <c r="G110" s="4">
        <v>33.07</v>
      </c>
      <c r="H110" s="5">
        <f t="shared" si="1"/>
        <v>99.210000000000008</v>
      </c>
    </row>
    <row r="111" spans="1:8" x14ac:dyDescent="0.3">
      <c r="A111" s="2">
        <v>1017</v>
      </c>
      <c r="B111" s="3">
        <v>45411</v>
      </c>
      <c r="C111" s="2" t="s">
        <v>15</v>
      </c>
      <c r="D111" s="2" t="s">
        <v>24</v>
      </c>
      <c r="E111" s="2" t="s">
        <v>23</v>
      </c>
      <c r="F111" s="2">
        <v>9</v>
      </c>
      <c r="G111" s="4">
        <v>325.83</v>
      </c>
      <c r="H111" s="5">
        <f t="shared" si="1"/>
        <v>2932.47</v>
      </c>
    </row>
    <row r="112" spans="1:8" x14ac:dyDescent="0.3">
      <c r="A112" s="2">
        <v>1599</v>
      </c>
      <c r="B112" s="3">
        <v>45412</v>
      </c>
      <c r="C112" s="2" t="s">
        <v>12</v>
      </c>
      <c r="D112" s="2" t="s">
        <v>18</v>
      </c>
      <c r="E112" s="2" t="s">
        <v>25</v>
      </c>
      <c r="F112" s="2">
        <v>1</v>
      </c>
      <c r="G112" s="4">
        <v>57.83</v>
      </c>
      <c r="H112" s="5">
        <f t="shared" si="1"/>
        <v>57.83</v>
      </c>
    </row>
    <row r="113" spans="1:8" x14ac:dyDescent="0.3">
      <c r="A113" s="2">
        <v>1107</v>
      </c>
      <c r="B113" s="3">
        <v>45414</v>
      </c>
      <c r="C113" s="2" t="s">
        <v>9</v>
      </c>
      <c r="D113" s="2" t="s">
        <v>24</v>
      </c>
      <c r="E113" s="2" t="s">
        <v>22</v>
      </c>
      <c r="F113" s="2">
        <v>5</v>
      </c>
      <c r="G113" s="4">
        <v>161.03</v>
      </c>
      <c r="H113" s="5">
        <f t="shared" si="1"/>
        <v>805.15</v>
      </c>
    </row>
    <row r="114" spans="1:8" x14ac:dyDescent="0.3">
      <c r="A114" s="2">
        <v>1334</v>
      </c>
      <c r="B114" s="3">
        <v>45414</v>
      </c>
      <c r="C114" s="2" t="s">
        <v>12</v>
      </c>
      <c r="D114" s="2" t="s">
        <v>21</v>
      </c>
      <c r="E114" s="2" t="s">
        <v>14</v>
      </c>
      <c r="F114" s="2">
        <v>6</v>
      </c>
      <c r="G114" s="4">
        <v>93.38</v>
      </c>
      <c r="H114" s="5">
        <f t="shared" si="1"/>
        <v>560.28</v>
      </c>
    </row>
    <row r="115" spans="1:8" x14ac:dyDescent="0.3">
      <c r="A115" s="2">
        <v>1051</v>
      </c>
      <c r="B115" s="3">
        <v>45415</v>
      </c>
      <c r="C115" s="2" t="s">
        <v>12</v>
      </c>
      <c r="D115" s="2" t="s">
        <v>21</v>
      </c>
      <c r="E115" s="2" t="s">
        <v>14</v>
      </c>
      <c r="F115" s="2">
        <v>7</v>
      </c>
      <c r="G115" s="4">
        <v>121.96</v>
      </c>
      <c r="H115" s="5">
        <f t="shared" si="1"/>
        <v>853.71999999999991</v>
      </c>
    </row>
    <row r="116" spans="1:8" x14ac:dyDescent="0.3">
      <c r="A116" s="2">
        <v>1106</v>
      </c>
      <c r="B116" s="3">
        <v>45415</v>
      </c>
      <c r="C116" s="2" t="s">
        <v>17</v>
      </c>
      <c r="D116" s="2" t="s">
        <v>24</v>
      </c>
      <c r="E116" s="2" t="s">
        <v>19</v>
      </c>
      <c r="F116" s="2">
        <v>26</v>
      </c>
      <c r="G116" s="4">
        <v>320.23</v>
      </c>
      <c r="H116" s="5">
        <f t="shared" si="1"/>
        <v>8325.98</v>
      </c>
    </row>
    <row r="117" spans="1:8" x14ac:dyDescent="0.3">
      <c r="A117" s="2">
        <v>1364</v>
      </c>
      <c r="B117" s="3">
        <v>45415</v>
      </c>
      <c r="C117" s="2" t="s">
        <v>17</v>
      </c>
      <c r="D117" s="2" t="s">
        <v>18</v>
      </c>
      <c r="E117" s="2" t="s">
        <v>19</v>
      </c>
      <c r="F117" s="2">
        <v>25</v>
      </c>
      <c r="G117" s="4">
        <v>73.430000000000007</v>
      </c>
      <c r="H117" s="5">
        <f t="shared" si="1"/>
        <v>1835.7500000000002</v>
      </c>
    </row>
    <row r="118" spans="1:8" x14ac:dyDescent="0.3">
      <c r="A118" s="2">
        <v>1382</v>
      </c>
      <c r="B118" s="3">
        <v>45416</v>
      </c>
      <c r="C118" s="2" t="s">
        <v>12</v>
      </c>
      <c r="D118" s="2" t="s">
        <v>13</v>
      </c>
      <c r="E118" s="2" t="s">
        <v>25</v>
      </c>
      <c r="F118" s="2">
        <v>19</v>
      </c>
      <c r="G118" s="4">
        <v>191.4</v>
      </c>
      <c r="H118" s="5">
        <f t="shared" si="1"/>
        <v>3636.6</v>
      </c>
    </row>
    <row r="119" spans="1:8" x14ac:dyDescent="0.3">
      <c r="A119" s="2">
        <v>1624</v>
      </c>
      <c r="B119" s="3">
        <v>45417</v>
      </c>
      <c r="C119" s="2" t="s">
        <v>9</v>
      </c>
      <c r="D119" s="2" t="s">
        <v>10</v>
      </c>
      <c r="E119" s="2" t="s">
        <v>11</v>
      </c>
      <c r="F119" s="2">
        <v>23</v>
      </c>
      <c r="G119" s="4">
        <v>24.54</v>
      </c>
      <c r="H119" s="5">
        <f t="shared" si="1"/>
        <v>564.41999999999996</v>
      </c>
    </row>
    <row r="120" spans="1:8" x14ac:dyDescent="0.3">
      <c r="A120" s="2">
        <v>1114</v>
      </c>
      <c r="B120" s="3">
        <v>45422</v>
      </c>
      <c r="C120" s="2" t="s">
        <v>9</v>
      </c>
      <c r="D120" s="2" t="s">
        <v>13</v>
      </c>
      <c r="E120" s="2" t="s">
        <v>22</v>
      </c>
      <c r="F120" s="2">
        <v>20</v>
      </c>
      <c r="G120" s="4">
        <v>85.14</v>
      </c>
      <c r="H120" s="5">
        <f t="shared" si="1"/>
        <v>1702.8</v>
      </c>
    </row>
    <row r="121" spans="1:8" x14ac:dyDescent="0.3">
      <c r="A121" s="2">
        <v>1124</v>
      </c>
      <c r="B121" s="3">
        <v>45422</v>
      </c>
      <c r="C121" s="2" t="s">
        <v>12</v>
      </c>
      <c r="D121" s="2" t="s">
        <v>13</v>
      </c>
      <c r="E121" s="2" t="s">
        <v>14</v>
      </c>
      <c r="F121" s="2">
        <v>32</v>
      </c>
      <c r="G121" s="4">
        <v>194.45</v>
      </c>
      <c r="H121" s="5">
        <f t="shared" si="1"/>
        <v>6222.4</v>
      </c>
    </row>
    <row r="122" spans="1:8" x14ac:dyDescent="0.3">
      <c r="A122" s="2">
        <v>1436</v>
      </c>
      <c r="B122" s="3">
        <v>45422</v>
      </c>
      <c r="C122" s="2" t="s">
        <v>15</v>
      </c>
      <c r="D122" s="2" t="s">
        <v>13</v>
      </c>
      <c r="E122" s="2" t="s">
        <v>23</v>
      </c>
      <c r="F122" s="2">
        <v>23</v>
      </c>
      <c r="G122" s="4">
        <v>52.86</v>
      </c>
      <c r="H122" s="5">
        <f t="shared" si="1"/>
        <v>1215.78</v>
      </c>
    </row>
    <row r="123" spans="1:8" x14ac:dyDescent="0.3">
      <c r="A123" s="2">
        <v>1530</v>
      </c>
      <c r="B123" s="3">
        <v>45424</v>
      </c>
      <c r="C123" s="2" t="s">
        <v>12</v>
      </c>
      <c r="D123" s="2" t="s">
        <v>24</v>
      </c>
      <c r="E123" s="2" t="s">
        <v>25</v>
      </c>
      <c r="F123" s="2">
        <v>37</v>
      </c>
      <c r="G123" s="4">
        <v>339.03</v>
      </c>
      <c r="H123" s="5">
        <f t="shared" si="1"/>
        <v>12544.109999999999</v>
      </c>
    </row>
    <row r="124" spans="1:8" x14ac:dyDescent="0.3">
      <c r="A124" s="2">
        <v>1049</v>
      </c>
      <c r="B124" s="3">
        <v>45425</v>
      </c>
      <c r="C124" s="2" t="s">
        <v>9</v>
      </c>
      <c r="D124" s="2" t="s">
        <v>10</v>
      </c>
      <c r="E124" s="2" t="s">
        <v>11</v>
      </c>
      <c r="F124" s="2">
        <v>12</v>
      </c>
      <c r="G124" s="4">
        <v>53.64</v>
      </c>
      <c r="H124" s="5">
        <f t="shared" si="1"/>
        <v>643.68000000000006</v>
      </c>
    </row>
    <row r="125" spans="1:8" x14ac:dyDescent="0.3">
      <c r="A125" s="2">
        <v>1512</v>
      </c>
      <c r="B125" s="3">
        <v>45426</v>
      </c>
      <c r="C125" s="2" t="s">
        <v>12</v>
      </c>
      <c r="D125" s="2" t="s">
        <v>18</v>
      </c>
      <c r="E125" s="2" t="s">
        <v>25</v>
      </c>
      <c r="F125" s="2">
        <v>30</v>
      </c>
      <c r="G125" s="4">
        <v>76.44</v>
      </c>
      <c r="H125" s="5">
        <f t="shared" si="1"/>
        <v>2293.1999999999998</v>
      </c>
    </row>
    <row r="126" spans="1:8" x14ac:dyDescent="0.3">
      <c r="A126" s="2">
        <v>1091</v>
      </c>
      <c r="B126" s="3">
        <v>45428</v>
      </c>
      <c r="C126" s="2" t="s">
        <v>17</v>
      </c>
      <c r="D126" s="2" t="s">
        <v>24</v>
      </c>
      <c r="E126" s="2" t="s">
        <v>19</v>
      </c>
      <c r="F126" s="2">
        <v>36</v>
      </c>
      <c r="G126" s="4">
        <v>347.46</v>
      </c>
      <c r="H126" s="5">
        <f t="shared" si="1"/>
        <v>12508.56</v>
      </c>
    </row>
    <row r="127" spans="1:8" x14ac:dyDescent="0.3">
      <c r="A127" s="2">
        <v>1558</v>
      </c>
      <c r="B127" s="3">
        <v>45428</v>
      </c>
      <c r="C127" s="2" t="s">
        <v>17</v>
      </c>
      <c r="D127" s="2" t="s">
        <v>18</v>
      </c>
      <c r="E127" s="2" t="s">
        <v>19</v>
      </c>
      <c r="F127" s="2">
        <v>11</v>
      </c>
      <c r="G127" s="4">
        <v>22.32</v>
      </c>
      <c r="H127" s="5">
        <f t="shared" si="1"/>
        <v>245.52</v>
      </c>
    </row>
    <row r="128" spans="1:8" x14ac:dyDescent="0.3">
      <c r="A128" s="2">
        <v>1522</v>
      </c>
      <c r="B128" s="3">
        <v>45430</v>
      </c>
      <c r="C128" s="2" t="s">
        <v>9</v>
      </c>
      <c r="D128" s="2" t="s">
        <v>24</v>
      </c>
      <c r="E128" s="2" t="s">
        <v>22</v>
      </c>
      <c r="F128" s="2">
        <v>26</v>
      </c>
      <c r="G128" s="4">
        <v>209.59</v>
      </c>
      <c r="H128" s="5">
        <f t="shared" si="1"/>
        <v>5449.34</v>
      </c>
    </row>
    <row r="129" spans="1:8" x14ac:dyDescent="0.3">
      <c r="A129" s="2">
        <v>1597</v>
      </c>
      <c r="B129" s="3">
        <v>45430</v>
      </c>
      <c r="C129" s="2" t="s">
        <v>12</v>
      </c>
      <c r="D129" s="2" t="s">
        <v>18</v>
      </c>
      <c r="E129" s="2" t="s">
        <v>25</v>
      </c>
      <c r="F129" s="2">
        <v>3</v>
      </c>
      <c r="G129" s="4">
        <v>45.13</v>
      </c>
      <c r="H129" s="5">
        <f t="shared" si="1"/>
        <v>135.39000000000001</v>
      </c>
    </row>
    <row r="130" spans="1:8" x14ac:dyDescent="0.3">
      <c r="A130" s="2">
        <v>1461</v>
      </c>
      <c r="B130" s="3">
        <v>45432</v>
      </c>
      <c r="C130" s="2" t="s">
        <v>9</v>
      </c>
      <c r="D130" s="2" t="s">
        <v>13</v>
      </c>
      <c r="E130" s="2" t="s">
        <v>22</v>
      </c>
      <c r="F130" s="2">
        <v>16</v>
      </c>
      <c r="G130" s="4">
        <v>66.63</v>
      </c>
      <c r="H130" s="5">
        <f t="shared" ref="H130:H193" si="2">F130*G130</f>
        <v>1066.08</v>
      </c>
    </row>
    <row r="131" spans="1:8" x14ac:dyDescent="0.3">
      <c r="A131" s="2">
        <v>1282</v>
      </c>
      <c r="B131" s="3">
        <v>45434</v>
      </c>
      <c r="C131" s="2" t="s">
        <v>15</v>
      </c>
      <c r="D131" s="2" t="s">
        <v>13</v>
      </c>
      <c r="E131" s="2" t="s">
        <v>23</v>
      </c>
      <c r="F131" s="2">
        <v>10</v>
      </c>
      <c r="G131" s="4">
        <v>109.76</v>
      </c>
      <c r="H131" s="5">
        <f t="shared" si="2"/>
        <v>1097.6000000000001</v>
      </c>
    </row>
    <row r="132" spans="1:8" x14ac:dyDescent="0.3">
      <c r="A132" s="2">
        <v>1059</v>
      </c>
      <c r="B132" s="3">
        <v>45438</v>
      </c>
      <c r="C132" s="2" t="s">
        <v>17</v>
      </c>
      <c r="D132" s="2" t="s">
        <v>18</v>
      </c>
      <c r="E132" s="2" t="s">
        <v>19</v>
      </c>
      <c r="F132" s="2">
        <v>7</v>
      </c>
      <c r="G132" s="4">
        <v>31.47</v>
      </c>
      <c r="H132" s="5">
        <f t="shared" si="2"/>
        <v>220.29</v>
      </c>
    </row>
    <row r="133" spans="1:8" x14ac:dyDescent="0.3">
      <c r="A133" s="2">
        <v>1346</v>
      </c>
      <c r="B133" s="3">
        <v>45438</v>
      </c>
      <c r="C133" s="2" t="s">
        <v>17</v>
      </c>
      <c r="D133" s="2" t="s">
        <v>18</v>
      </c>
      <c r="E133" s="2" t="s">
        <v>20</v>
      </c>
      <c r="F133" s="2">
        <v>29</v>
      </c>
      <c r="G133" s="4">
        <v>28.52</v>
      </c>
      <c r="H133" s="5">
        <f t="shared" si="2"/>
        <v>827.08</v>
      </c>
    </row>
    <row r="134" spans="1:8" x14ac:dyDescent="0.3">
      <c r="A134" s="2">
        <v>1198</v>
      </c>
      <c r="B134" s="3">
        <v>45439</v>
      </c>
      <c r="C134" s="2" t="s">
        <v>17</v>
      </c>
      <c r="D134" s="2" t="s">
        <v>10</v>
      </c>
      <c r="E134" s="2" t="s">
        <v>19</v>
      </c>
      <c r="F134" s="2">
        <v>17</v>
      </c>
      <c r="G134" s="4">
        <v>20.420000000000002</v>
      </c>
      <c r="H134" s="5">
        <f t="shared" si="2"/>
        <v>347.14000000000004</v>
      </c>
    </row>
    <row r="135" spans="1:8" x14ac:dyDescent="0.3">
      <c r="A135" s="2">
        <v>1354</v>
      </c>
      <c r="B135" s="3">
        <v>45439</v>
      </c>
      <c r="C135" s="2" t="s">
        <v>12</v>
      </c>
      <c r="D135" s="2" t="s">
        <v>13</v>
      </c>
      <c r="E135" s="2" t="s">
        <v>14</v>
      </c>
      <c r="F135" s="2">
        <v>29</v>
      </c>
      <c r="G135" s="4">
        <v>114.39</v>
      </c>
      <c r="H135" s="5">
        <f t="shared" si="2"/>
        <v>3317.31</v>
      </c>
    </row>
    <row r="136" spans="1:8" x14ac:dyDescent="0.3">
      <c r="A136" s="2">
        <v>1507</v>
      </c>
      <c r="B136" s="3">
        <v>45439</v>
      </c>
      <c r="C136" s="2" t="s">
        <v>17</v>
      </c>
      <c r="D136" s="2" t="s">
        <v>10</v>
      </c>
      <c r="E136" s="2" t="s">
        <v>19</v>
      </c>
      <c r="F136" s="2">
        <v>1</v>
      </c>
      <c r="G136" s="4">
        <v>57.44</v>
      </c>
      <c r="H136" s="5">
        <f t="shared" si="2"/>
        <v>57.44</v>
      </c>
    </row>
    <row r="137" spans="1:8" x14ac:dyDescent="0.3">
      <c r="A137" s="2">
        <v>1442</v>
      </c>
      <c r="B137" s="3">
        <v>45440</v>
      </c>
      <c r="C137" s="2" t="s">
        <v>17</v>
      </c>
      <c r="D137" s="2" t="s">
        <v>24</v>
      </c>
      <c r="E137" s="2" t="s">
        <v>19</v>
      </c>
      <c r="F137" s="2">
        <v>12</v>
      </c>
      <c r="G137" s="4">
        <v>307.43</v>
      </c>
      <c r="H137" s="5">
        <f t="shared" si="2"/>
        <v>3689.16</v>
      </c>
    </row>
    <row r="138" spans="1:8" x14ac:dyDescent="0.3">
      <c r="A138" s="2">
        <v>1319</v>
      </c>
      <c r="B138" s="3">
        <v>45442</v>
      </c>
      <c r="C138" s="2" t="s">
        <v>17</v>
      </c>
      <c r="D138" s="2" t="s">
        <v>10</v>
      </c>
      <c r="E138" s="2" t="s">
        <v>19</v>
      </c>
      <c r="F138" s="2">
        <v>6</v>
      </c>
      <c r="G138" s="4">
        <v>27.34</v>
      </c>
      <c r="H138" s="5">
        <f t="shared" si="2"/>
        <v>164.04</v>
      </c>
    </row>
    <row r="139" spans="1:8" x14ac:dyDescent="0.3">
      <c r="A139" s="2">
        <v>1088</v>
      </c>
      <c r="B139" s="3">
        <v>45445</v>
      </c>
      <c r="C139" s="2" t="s">
        <v>17</v>
      </c>
      <c r="D139" s="2" t="s">
        <v>10</v>
      </c>
      <c r="E139" s="2" t="s">
        <v>20</v>
      </c>
      <c r="F139" s="2">
        <v>33</v>
      </c>
      <c r="G139" s="4">
        <v>12.19</v>
      </c>
      <c r="H139" s="5">
        <f t="shared" si="2"/>
        <v>402.27</v>
      </c>
    </row>
    <row r="140" spans="1:8" x14ac:dyDescent="0.3">
      <c r="A140" s="2">
        <v>1399</v>
      </c>
      <c r="B140" s="3">
        <v>45445</v>
      </c>
      <c r="C140" s="2" t="s">
        <v>15</v>
      </c>
      <c r="D140" s="2" t="s">
        <v>21</v>
      </c>
      <c r="E140" s="2" t="s">
        <v>23</v>
      </c>
      <c r="F140" s="2">
        <v>29</v>
      </c>
      <c r="G140" s="4">
        <v>69.34</v>
      </c>
      <c r="H140" s="5">
        <f t="shared" si="2"/>
        <v>2010.8600000000001</v>
      </c>
    </row>
    <row r="141" spans="1:8" x14ac:dyDescent="0.3">
      <c r="A141" s="2">
        <v>1570</v>
      </c>
      <c r="B141" s="3">
        <v>45446</v>
      </c>
      <c r="C141" s="2" t="s">
        <v>15</v>
      </c>
      <c r="D141" s="2" t="s">
        <v>13</v>
      </c>
      <c r="E141" s="2" t="s">
        <v>16</v>
      </c>
      <c r="F141" s="2">
        <v>1</v>
      </c>
      <c r="G141" s="4">
        <v>165.66</v>
      </c>
      <c r="H141" s="5">
        <f t="shared" si="2"/>
        <v>165.66</v>
      </c>
    </row>
    <row r="142" spans="1:8" x14ac:dyDescent="0.3">
      <c r="A142" s="2">
        <v>1012</v>
      </c>
      <c r="B142" s="3">
        <v>45447</v>
      </c>
      <c r="C142" s="2" t="s">
        <v>15</v>
      </c>
      <c r="D142" s="2" t="s">
        <v>13</v>
      </c>
      <c r="E142" s="2" t="s">
        <v>23</v>
      </c>
      <c r="F142" s="2">
        <v>5</v>
      </c>
      <c r="G142" s="4">
        <v>193.35</v>
      </c>
      <c r="H142" s="5">
        <f t="shared" si="2"/>
        <v>966.75</v>
      </c>
    </row>
    <row r="143" spans="1:8" x14ac:dyDescent="0.3">
      <c r="A143" s="2">
        <v>1621</v>
      </c>
      <c r="B143" s="3">
        <v>45447</v>
      </c>
      <c r="C143" s="2" t="s">
        <v>9</v>
      </c>
      <c r="D143" s="2" t="s">
        <v>13</v>
      </c>
      <c r="E143" s="2" t="s">
        <v>11</v>
      </c>
      <c r="F143" s="2">
        <v>10</v>
      </c>
      <c r="G143" s="4">
        <v>82.33</v>
      </c>
      <c r="H143" s="5">
        <f t="shared" si="2"/>
        <v>823.3</v>
      </c>
    </row>
    <row r="144" spans="1:8" x14ac:dyDescent="0.3">
      <c r="A144" s="2">
        <v>1249</v>
      </c>
      <c r="B144" s="3">
        <v>45450</v>
      </c>
      <c r="C144" s="2" t="s">
        <v>9</v>
      </c>
      <c r="D144" s="2" t="s">
        <v>18</v>
      </c>
      <c r="E144" s="2" t="s">
        <v>22</v>
      </c>
      <c r="F144" s="2">
        <v>23</v>
      </c>
      <c r="G144" s="4">
        <v>60.22</v>
      </c>
      <c r="H144" s="5">
        <f t="shared" si="2"/>
        <v>1385.06</v>
      </c>
    </row>
    <row r="145" spans="1:8" x14ac:dyDescent="0.3">
      <c r="A145" s="2">
        <v>1044</v>
      </c>
      <c r="B145" s="3">
        <v>45451</v>
      </c>
      <c r="C145" s="2" t="s">
        <v>9</v>
      </c>
      <c r="D145" s="2" t="s">
        <v>24</v>
      </c>
      <c r="E145" s="2" t="s">
        <v>11</v>
      </c>
      <c r="F145" s="2">
        <v>7</v>
      </c>
      <c r="G145" s="4">
        <v>335.79</v>
      </c>
      <c r="H145" s="5">
        <f t="shared" si="2"/>
        <v>2350.5300000000002</v>
      </c>
    </row>
    <row r="146" spans="1:8" x14ac:dyDescent="0.3">
      <c r="A146" s="2">
        <v>1435</v>
      </c>
      <c r="B146" s="3">
        <v>45451</v>
      </c>
      <c r="C146" s="2" t="s">
        <v>9</v>
      </c>
      <c r="D146" s="2" t="s">
        <v>18</v>
      </c>
      <c r="E146" s="2" t="s">
        <v>11</v>
      </c>
      <c r="F146" s="2">
        <v>35</v>
      </c>
      <c r="G146" s="4">
        <v>29.72</v>
      </c>
      <c r="H146" s="5">
        <f t="shared" si="2"/>
        <v>1040.2</v>
      </c>
    </row>
    <row r="147" spans="1:8" x14ac:dyDescent="0.3">
      <c r="A147" s="2">
        <v>1537</v>
      </c>
      <c r="B147" s="3">
        <v>45452</v>
      </c>
      <c r="C147" s="2" t="s">
        <v>12</v>
      </c>
      <c r="D147" s="2" t="s">
        <v>24</v>
      </c>
      <c r="E147" s="2" t="s">
        <v>25</v>
      </c>
      <c r="F147" s="2">
        <v>34</v>
      </c>
      <c r="G147" s="4">
        <v>147.35</v>
      </c>
      <c r="H147" s="5">
        <f t="shared" si="2"/>
        <v>5009.8999999999996</v>
      </c>
    </row>
    <row r="148" spans="1:8" x14ac:dyDescent="0.3">
      <c r="A148" s="2">
        <v>1553</v>
      </c>
      <c r="B148" s="3">
        <v>45452</v>
      </c>
      <c r="C148" s="2" t="s">
        <v>15</v>
      </c>
      <c r="D148" s="2" t="s">
        <v>21</v>
      </c>
      <c r="E148" s="2" t="s">
        <v>23</v>
      </c>
      <c r="F148" s="2">
        <v>19</v>
      </c>
      <c r="G148" s="4">
        <v>126.97</v>
      </c>
      <c r="H148" s="5">
        <f t="shared" si="2"/>
        <v>2412.4299999999998</v>
      </c>
    </row>
    <row r="149" spans="1:8" x14ac:dyDescent="0.3">
      <c r="A149" s="2">
        <v>1478</v>
      </c>
      <c r="B149" s="3">
        <v>45453</v>
      </c>
      <c r="C149" s="2" t="s">
        <v>17</v>
      </c>
      <c r="D149" s="2" t="s">
        <v>10</v>
      </c>
      <c r="E149" s="2" t="s">
        <v>20</v>
      </c>
      <c r="F149" s="2">
        <v>15</v>
      </c>
      <c r="G149" s="4">
        <v>17.09</v>
      </c>
      <c r="H149" s="5">
        <f t="shared" si="2"/>
        <v>256.35000000000002</v>
      </c>
    </row>
    <row r="150" spans="1:8" x14ac:dyDescent="0.3">
      <c r="A150" s="2">
        <v>1042</v>
      </c>
      <c r="B150" s="3">
        <v>45454</v>
      </c>
      <c r="C150" s="2" t="s">
        <v>9</v>
      </c>
      <c r="D150" s="2" t="s">
        <v>18</v>
      </c>
      <c r="E150" s="2" t="s">
        <v>11</v>
      </c>
      <c r="F150" s="2">
        <v>30</v>
      </c>
      <c r="G150" s="4">
        <v>26.34</v>
      </c>
      <c r="H150" s="5">
        <f t="shared" si="2"/>
        <v>790.2</v>
      </c>
    </row>
    <row r="151" spans="1:8" x14ac:dyDescent="0.3">
      <c r="A151" s="2">
        <v>1616</v>
      </c>
      <c r="B151" s="3">
        <v>45454</v>
      </c>
      <c r="C151" s="2" t="s">
        <v>9</v>
      </c>
      <c r="D151" s="2" t="s">
        <v>18</v>
      </c>
      <c r="E151" s="2" t="s">
        <v>11</v>
      </c>
      <c r="F151" s="2">
        <v>13</v>
      </c>
      <c r="G151" s="4">
        <v>49.92</v>
      </c>
      <c r="H151" s="5">
        <f t="shared" si="2"/>
        <v>648.96</v>
      </c>
    </row>
    <row r="152" spans="1:8" x14ac:dyDescent="0.3">
      <c r="A152" s="2">
        <v>1156</v>
      </c>
      <c r="B152" s="3">
        <v>45455</v>
      </c>
      <c r="C152" s="2" t="s">
        <v>9</v>
      </c>
      <c r="D152" s="2" t="s">
        <v>13</v>
      </c>
      <c r="E152" s="2" t="s">
        <v>11</v>
      </c>
      <c r="F152" s="2">
        <v>31</v>
      </c>
      <c r="G152" s="4">
        <v>138.66999999999999</v>
      </c>
      <c r="H152" s="5">
        <f t="shared" si="2"/>
        <v>4298.7699999999995</v>
      </c>
    </row>
    <row r="153" spans="1:8" x14ac:dyDescent="0.3">
      <c r="A153" s="2">
        <v>1426</v>
      </c>
      <c r="B153" s="3">
        <v>45455</v>
      </c>
      <c r="C153" s="2" t="s">
        <v>9</v>
      </c>
      <c r="D153" s="2" t="s">
        <v>21</v>
      </c>
      <c r="E153" s="2" t="s">
        <v>11</v>
      </c>
      <c r="F153" s="2">
        <v>30</v>
      </c>
      <c r="G153" s="4">
        <v>136.85</v>
      </c>
      <c r="H153" s="5">
        <f t="shared" si="2"/>
        <v>4105.5</v>
      </c>
    </row>
    <row r="154" spans="1:8" x14ac:dyDescent="0.3">
      <c r="A154" s="2">
        <v>1250</v>
      </c>
      <c r="B154" s="3">
        <v>45456</v>
      </c>
      <c r="C154" s="2" t="s">
        <v>9</v>
      </c>
      <c r="D154" s="2" t="s">
        <v>21</v>
      </c>
      <c r="E154" s="2" t="s">
        <v>11</v>
      </c>
      <c r="F154" s="2">
        <v>7</v>
      </c>
      <c r="G154" s="4">
        <v>53.63</v>
      </c>
      <c r="H154" s="5">
        <f t="shared" si="2"/>
        <v>375.41</v>
      </c>
    </row>
    <row r="155" spans="1:8" x14ac:dyDescent="0.3">
      <c r="A155" s="2">
        <v>1546</v>
      </c>
      <c r="B155" s="3">
        <v>45457</v>
      </c>
      <c r="C155" s="2" t="s">
        <v>12</v>
      </c>
      <c r="D155" s="2" t="s">
        <v>21</v>
      </c>
      <c r="E155" s="2" t="s">
        <v>25</v>
      </c>
      <c r="F155" s="2">
        <v>32</v>
      </c>
      <c r="G155" s="4">
        <v>77.400000000000006</v>
      </c>
      <c r="H155" s="5">
        <f t="shared" si="2"/>
        <v>2476.8000000000002</v>
      </c>
    </row>
    <row r="156" spans="1:8" x14ac:dyDescent="0.3">
      <c r="A156" s="2">
        <v>1555</v>
      </c>
      <c r="B156" s="3">
        <v>45457</v>
      </c>
      <c r="C156" s="2" t="s">
        <v>17</v>
      </c>
      <c r="D156" s="2" t="s">
        <v>10</v>
      </c>
      <c r="E156" s="2" t="s">
        <v>19</v>
      </c>
      <c r="F156" s="2">
        <v>4</v>
      </c>
      <c r="G156" s="4">
        <v>20.6</v>
      </c>
      <c r="H156" s="5">
        <f t="shared" si="2"/>
        <v>82.4</v>
      </c>
    </row>
    <row r="157" spans="1:8" x14ac:dyDescent="0.3">
      <c r="A157" s="2">
        <v>1391</v>
      </c>
      <c r="B157" s="3">
        <v>45458</v>
      </c>
      <c r="C157" s="2" t="s">
        <v>9</v>
      </c>
      <c r="D157" s="2" t="s">
        <v>21</v>
      </c>
      <c r="E157" s="2" t="s">
        <v>22</v>
      </c>
      <c r="F157" s="2">
        <v>19</v>
      </c>
      <c r="G157" s="4">
        <v>83.88</v>
      </c>
      <c r="H157" s="5">
        <f t="shared" si="2"/>
        <v>1593.7199999999998</v>
      </c>
    </row>
    <row r="158" spans="1:8" x14ac:dyDescent="0.3">
      <c r="A158" s="2">
        <v>1479</v>
      </c>
      <c r="B158" s="3">
        <v>45459</v>
      </c>
      <c r="C158" s="2" t="s">
        <v>9</v>
      </c>
      <c r="D158" s="2" t="s">
        <v>13</v>
      </c>
      <c r="E158" s="2" t="s">
        <v>22</v>
      </c>
      <c r="F158" s="2">
        <v>3</v>
      </c>
      <c r="G158" s="4">
        <v>40.69</v>
      </c>
      <c r="H158" s="5">
        <f t="shared" si="2"/>
        <v>122.07</v>
      </c>
    </row>
    <row r="159" spans="1:8" x14ac:dyDescent="0.3">
      <c r="A159" s="2">
        <v>1251</v>
      </c>
      <c r="B159" s="3">
        <v>45460</v>
      </c>
      <c r="C159" s="2" t="s">
        <v>12</v>
      </c>
      <c r="D159" s="2" t="s">
        <v>18</v>
      </c>
      <c r="E159" s="2" t="s">
        <v>14</v>
      </c>
      <c r="F159" s="2">
        <v>10</v>
      </c>
      <c r="G159" s="4">
        <v>26.32</v>
      </c>
      <c r="H159" s="5">
        <f t="shared" si="2"/>
        <v>263.2</v>
      </c>
    </row>
    <row r="160" spans="1:8" x14ac:dyDescent="0.3">
      <c r="A160" s="2">
        <v>1483</v>
      </c>
      <c r="B160" s="3">
        <v>45460</v>
      </c>
      <c r="C160" s="2" t="s">
        <v>15</v>
      </c>
      <c r="D160" s="2" t="s">
        <v>21</v>
      </c>
      <c r="E160" s="2" t="s">
        <v>23</v>
      </c>
      <c r="F160" s="2">
        <v>37</v>
      </c>
      <c r="G160" s="4">
        <v>77.61</v>
      </c>
      <c r="H160" s="5">
        <f t="shared" si="2"/>
        <v>2871.57</v>
      </c>
    </row>
    <row r="161" spans="1:8" x14ac:dyDescent="0.3">
      <c r="A161" s="2">
        <v>1615</v>
      </c>
      <c r="B161" s="3">
        <v>45460</v>
      </c>
      <c r="C161" s="2" t="s">
        <v>15</v>
      </c>
      <c r="D161" s="2" t="s">
        <v>18</v>
      </c>
      <c r="E161" s="2" t="s">
        <v>16</v>
      </c>
      <c r="F161" s="2">
        <v>35</v>
      </c>
      <c r="G161" s="4">
        <v>75.14</v>
      </c>
      <c r="H161" s="5">
        <f t="shared" si="2"/>
        <v>2629.9</v>
      </c>
    </row>
    <row r="162" spans="1:8" x14ac:dyDescent="0.3">
      <c r="A162" s="2">
        <v>1142</v>
      </c>
      <c r="B162" s="3">
        <v>45461</v>
      </c>
      <c r="C162" s="2" t="s">
        <v>17</v>
      </c>
      <c r="D162" s="2" t="s">
        <v>18</v>
      </c>
      <c r="E162" s="2" t="s">
        <v>20</v>
      </c>
      <c r="F162" s="2">
        <v>34</v>
      </c>
      <c r="G162" s="4">
        <v>63.94</v>
      </c>
      <c r="H162" s="5">
        <f t="shared" si="2"/>
        <v>2173.96</v>
      </c>
    </row>
    <row r="163" spans="1:8" x14ac:dyDescent="0.3">
      <c r="A163" s="2">
        <v>1311</v>
      </c>
      <c r="B163" s="3">
        <v>45461</v>
      </c>
      <c r="C163" s="2" t="s">
        <v>15</v>
      </c>
      <c r="D163" s="2" t="s">
        <v>10</v>
      </c>
      <c r="E163" s="2" t="s">
        <v>23</v>
      </c>
      <c r="F163" s="2">
        <v>37</v>
      </c>
      <c r="G163" s="4">
        <v>25.81</v>
      </c>
      <c r="H163" s="5">
        <f t="shared" si="2"/>
        <v>954.96999999999991</v>
      </c>
    </row>
    <row r="164" spans="1:8" x14ac:dyDescent="0.3">
      <c r="A164" s="2">
        <v>1460</v>
      </c>
      <c r="B164" s="3">
        <v>45464</v>
      </c>
      <c r="C164" s="2" t="s">
        <v>17</v>
      </c>
      <c r="D164" s="2" t="s">
        <v>21</v>
      </c>
      <c r="E164" s="2" t="s">
        <v>19</v>
      </c>
      <c r="F164" s="2">
        <v>20</v>
      </c>
      <c r="G164" s="4">
        <v>32.03</v>
      </c>
      <c r="H164" s="5">
        <f t="shared" si="2"/>
        <v>640.6</v>
      </c>
    </row>
    <row r="165" spans="1:8" x14ac:dyDescent="0.3">
      <c r="A165" s="2">
        <v>1501</v>
      </c>
      <c r="B165" s="3">
        <v>45464</v>
      </c>
      <c r="C165" s="2" t="s">
        <v>17</v>
      </c>
      <c r="D165" s="2" t="s">
        <v>21</v>
      </c>
      <c r="E165" s="2" t="s">
        <v>20</v>
      </c>
      <c r="F165" s="2">
        <v>8</v>
      </c>
      <c r="G165" s="4">
        <v>127.33</v>
      </c>
      <c r="H165" s="5">
        <f t="shared" si="2"/>
        <v>1018.64</v>
      </c>
    </row>
    <row r="166" spans="1:8" x14ac:dyDescent="0.3">
      <c r="A166" s="2">
        <v>1223</v>
      </c>
      <c r="B166" s="3">
        <v>45465</v>
      </c>
      <c r="C166" s="2" t="s">
        <v>17</v>
      </c>
      <c r="D166" s="2" t="s">
        <v>18</v>
      </c>
      <c r="E166" s="2" t="s">
        <v>20</v>
      </c>
      <c r="F166" s="2">
        <v>21</v>
      </c>
      <c r="G166" s="4">
        <v>85.85</v>
      </c>
      <c r="H166" s="5">
        <f t="shared" si="2"/>
        <v>1802.85</v>
      </c>
    </row>
    <row r="167" spans="1:8" x14ac:dyDescent="0.3">
      <c r="A167" s="2">
        <v>1181</v>
      </c>
      <c r="B167" s="3">
        <v>45467</v>
      </c>
      <c r="C167" s="2" t="s">
        <v>12</v>
      </c>
      <c r="D167" s="2" t="s">
        <v>24</v>
      </c>
      <c r="E167" s="2" t="s">
        <v>14</v>
      </c>
      <c r="F167" s="2">
        <v>13</v>
      </c>
      <c r="G167" s="4">
        <v>236.96</v>
      </c>
      <c r="H167" s="5">
        <f t="shared" si="2"/>
        <v>3080.48</v>
      </c>
    </row>
    <row r="168" spans="1:8" x14ac:dyDescent="0.3">
      <c r="A168" s="2">
        <v>1159</v>
      </c>
      <c r="B168" s="3">
        <v>45469</v>
      </c>
      <c r="C168" s="2" t="s">
        <v>9</v>
      </c>
      <c r="D168" s="2" t="s">
        <v>18</v>
      </c>
      <c r="E168" s="2" t="s">
        <v>22</v>
      </c>
      <c r="F168" s="2">
        <v>16</v>
      </c>
      <c r="G168" s="4">
        <v>49.57</v>
      </c>
      <c r="H168" s="5">
        <f t="shared" si="2"/>
        <v>793.12</v>
      </c>
    </row>
    <row r="169" spans="1:8" x14ac:dyDescent="0.3">
      <c r="A169" s="2">
        <v>1286</v>
      </c>
      <c r="B169" s="3">
        <v>45476</v>
      </c>
      <c r="C169" s="2" t="s">
        <v>17</v>
      </c>
      <c r="D169" s="2" t="s">
        <v>24</v>
      </c>
      <c r="E169" s="2" t="s">
        <v>20</v>
      </c>
      <c r="F169" s="2">
        <v>22</v>
      </c>
      <c r="G169" s="4">
        <v>275.10000000000002</v>
      </c>
      <c r="H169" s="5">
        <f t="shared" si="2"/>
        <v>6052.2000000000007</v>
      </c>
    </row>
    <row r="170" spans="1:8" x14ac:dyDescent="0.3">
      <c r="A170" s="2">
        <v>1154</v>
      </c>
      <c r="B170" s="3">
        <v>45479</v>
      </c>
      <c r="C170" s="2" t="s">
        <v>12</v>
      </c>
      <c r="D170" s="2" t="s">
        <v>21</v>
      </c>
      <c r="E170" s="2" t="s">
        <v>25</v>
      </c>
      <c r="F170" s="2">
        <v>21</v>
      </c>
      <c r="G170" s="4">
        <v>98.94</v>
      </c>
      <c r="H170" s="5">
        <f t="shared" si="2"/>
        <v>2077.7399999999998</v>
      </c>
    </row>
    <row r="171" spans="1:8" x14ac:dyDescent="0.3">
      <c r="A171" s="2">
        <v>1141</v>
      </c>
      <c r="B171" s="3">
        <v>45480</v>
      </c>
      <c r="C171" s="2" t="s">
        <v>15</v>
      </c>
      <c r="D171" s="2" t="s">
        <v>13</v>
      </c>
      <c r="E171" s="2" t="s">
        <v>16</v>
      </c>
      <c r="F171" s="2">
        <v>6</v>
      </c>
      <c r="G171" s="4">
        <v>153.22999999999999</v>
      </c>
      <c r="H171" s="5">
        <f t="shared" si="2"/>
        <v>919.37999999999988</v>
      </c>
    </row>
    <row r="172" spans="1:8" x14ac:dyDescent="0.3">
      <c r="A172" s="2">
        <v>1623</v>
      </c>
      <c r="B172" s="3">
        <v>45480</v>
      </c>
      <c r="C172" s="2" t="s">
        <v>15</v>
      </c>
      <c r="D172" s="2" t="s">
        <v>21</v>
      </c>
      <c r="E172" s="2" t="s">
        <v>16</v>
      </c>
      <c r="F172" s="2">
        <v>23</v>
      </c>
      <c r="G172" s="4">
        <v>34.869999999999997</v>
      </c>
      <c r="H172" s="5">
        <f t="shared" si="2"/>
        <v>802.01</v>
      </c>
    </row>
    <row r="173" spans="1:8" x14ac:dyDescent="0.3">
      <c r="A173" s="2">
        <v>1171</v>
      </c>
      <c r="B173" s="3">
        <v>45481</v>
      </c>
      <c r="C173" s="2" t="s">
        <v>17</v>
      </c>
      <c r="D173" s="2" t="s">
        <v>24</v>
      </c>
      <c r="E173" s="2" t="s">
        <v>20</v>
      </c>
      <c r="F173" s="2">
        <v>32</v>
      </c>
      <c r="G173" s="4">
        <v>90.07</v>
      </c>
      <c r="H173" s="5">
        <f t="shared" si="2"/>
        <v>2882.24</v>
      </c>
    </row>
    <row r="174" spans="1:8" x14ac:dyDescent="0.3">
      <c r="A174" s="2">
        <v>1278</v>
      </c>
      <c r="B174" s="3">
        <v>45482</v>
      </c>
      <c r="C174" s="2" t="s">
        <v>15</v>
      </c>
      <c r="D174" s="2" t="s">
        <v>21</v>
      </c>
      <c r="E174" s="2" t="s">
        <v>23</v>
      </c>
      <c r="F174" s="2">
        <v>26</v>
      </c>
      <c r="G174" s="4">
        <v>47.11</v>
      </c>
      <c r="H174" s="5">
        <f t="shared" si="2"/>
        <v>1224.8599999999999</v>
      </c>
    </row>
    <row r="175" spans="1:8" x14ac:dyDescent="0.3">
      <c r="A175" s="2">
        <v>1604</v>
      </c>
      <c r="B175" s="3">
        <v>45482</v>
      </c>
      <c r="C175" s="2" t="s">
        <v>17</v>
      </c>
      <c r="D175" s="2" t="s">
        <v>10</v>
      </c>
      <c r="E175" s="2" t="s">
        <v>19</v>
      </c>
      <c r="F175" s="2">
        <v>25</v>
      </c>
      <c r="G175" s="4">
        <v>14.33</v>
      </c>
      <c r="H175" s="5">
        <f t="shared" si="2"/>
        <v>358.25</v>
      </c>
    </row>
    <row r="176" spans="1:8" x14ac:dyDescent="0.3">
      <c r="A176" s="2">
        <v>1163</v>
      </c>
      <c r="B176" s="3">
        <v>45484</v>
      </c>
      <c r="C176" s="2" t="s">
        <v>17</v>
      </c>
      <c r="D176" s="2" t="s">
        <v>24</v>
      </c>
      <c r="E176" s="2" t="s">
        <v>19</v>
      </c>
      <c r="F176" s="2">
        <v>16</v>
      </c>
      <c r="G176" s="4">
        <v>160.53</v>
      </c>
      <c r="H176" s="5">
        <f t="shared" si="2"/>
        <v>2568.48</v>
      </c>
    </row>
    <row r="177" spans="1:8" x14ac:dyDescent="0.3">
      <c r="A177" s="2">
        <v>1111</v>
      </c>
      <c r="B177" s="3">
        <v>45486</v>
      </c>
      <c r="C177" s="2" t="s">
        <v>17</v>
      </c>
      <c r="D177" s="2" t="s">
        <v>13</v>
      </c>
      <c r="E177" s="2" t="s">
        <v>20</v>
      </c>
      <c r="F177" s="2">
        <v>26</v>
      </c>
      <c r="G177" s="4">
        <v>167.09</v>
      </c>
      <c r="H177" s="5">
        <f t="shared" si="2"/>
        <v>4344.34</v>
      </c>
    </row>
    <row r="178" spans="1:8" x14ac:dyDescent="0.3">
      <c r="A178" s="2">
        <v>1471</v>
      </c>
      <c r="B178" s="3">
        <v>45486</v>
      </c>
      <c r="C178" s="2" t="s">
        <v>17</v>
      </c>
      <c r="D178" s="2" t="s">
        <v>24</v>
      </c>
      <c r="E178" s="2" t="s">
        <v>19</v>
      </c>
      <c r="F178" s="2">
        <v>19</v>
      </c>
      <c r="G178" s="4">
        <v>374.26</v>
      </c>
      <c r="H178" s="5">
        <f t="shared" si="2"/>
        <v>7110.94</v>
      </c>
    </row>
    <row r="179" spans="1:8" x14ac:dyDescent="0.3">
      <c r="A179" s="2">
        <v>1224</v>
      </c>
      <c r="B179" s="3">
        <v>45488</v>
      </c>
      <c r="C179" s="2" t="s">
        <v>15</v>
      </c>
      <c r="D179" s="2" t="s">
        <v>21</v>
      </c>
      <c r="E179" s="2" t="s">
        <v>23</v>
      </c>
      <c r="F179" s="2">
        <v>35</v>
      </c>
      <c r="G179" s="4">
        <v>69.33</v>
      </c>
      <c r="H179" s="5">
        <f t="shared" si="2"/>
        <v>2426.5499999999997</v>
      </c>
    </row>
    <row r="180" spans="1:8" x14ac:dyDescent="0.3">
      <c r="A180" s="2">
        <v>1293</v>
      </c>
      <c r="B180" s="3">
        <v>45488</v>
      </c>
      <c r="C180" s="2" t="s">
        <v>17</v>
      </c>
      <c r="D180" s="2" t="s">
        <v>21</v>
      </c>
      <c r="E180" s="2" t="s">
        <v>20</v>
      </c>
      <c r="F180" s="2">
        <v>6</v>
      </c>
      <c r="G180" s="4">
        <v>96.24</v>
      </c>
      <c r="H180" s="5">
        <f t="shared" si="2"/>
        <v>577.43999999999994</v>
      </c>
    </row>
    <row r="181" spans="1:8" x14ac:dyDescent="0.3">
      <c r="A181" s="2">
        <v>1167</v>
      </c>
      <c r="B181" s="3">
        <v>45490</v>
      </c>
      <c r="C181" s="2" t="s">
        <v>12</v>
      </c>
      <c r="D181" s="2" t="s">
        <v>21</v>
      </c>
      <c r="E181" s="2" t="s">
        <v>25</v>
      </c>
      <c r="F181" s="2">
        <v>17</v>
      </c>
      <c r="G181" s="4">
        <v>78.38</v>
      </c>
      <c r="H181" s="5">
        <f t="shared" si="2"/>
        <v>1332.46</v>
      </c>
    </row>
    <row r="182" spans="1:8" x14ac:dyDescent="0.3">
      <c r="A182" s="2">
        <v>1628</v>
      </c>
      <c r="B182" s="3">
        <v>45491</v>
      </c>
      <c r="C182" s="2" t="s">
        <v>9</v>
      </c>
      <c r="D182" s="2" t="s">
        <v>21</v>
      </c>
      <c r="E182" s="2" t="s">
        <v>11</v>
      </c>
      <c r="F182" s="2">
        <v>23</v>
      </c>
      <c r="G182" s="4">
        <v>42.36</v>
      </c>
      <c r="H182" s="5">
        <f t="shared" si="2"/>
        <v>974.28</v>
      </c>
    </row>
    <row r="183" spans="1:8" x14ac:dyDescent="0.3">
      <c r="A183" s="2">
        <v>1567</v>
      </c>
      <c r="B183" s="3">
        <v>45493</v>
      </c>
      <c r="C183" s="2" t="s">
        <v>12</v>
      </c>
      <c r="D183" s="2" t="s">
        <v>13</v>
      </c>
      <c r="E183" s="2" t="s">
        <v>14</v>
      </c>
      <c r="F183" s="2">
        <v>21</v>
      </c>
      <c r="G183" s="4">
        <v>71.760000000000005</v>
      </c>
      <c r="H183" s="5">
        <f t="shared" si="2"/>
        <v>1506.96</v>
      </c>
    </row>
    <row r="184" spans="1:8" x14ac:dyDescent="0.3">
      <c r="A184" s="2">
        <v>1136</v>
      </c>
      <c r="B184" s="3">
        <v>45494</v>
      </c>
      <c r="C184" s="2" t="s">
        <v>12</v>
      </c>
      <c r="D184" s="2" t="s">
        <v>21</v>
      </c>
      <c r="E184" s="2" t="s">
        <v>25</v>
      </c>
      <c r="F184" s="2">
        <v>13</v>
      </c>
      <c r="G184" s="4">
        <v>46.68</v>
      </c>
      <c r="H184" s="5">
        <f t="shared" si="2"/>
        <v>606.84</v>
      </c>
    </row>
    <row r="185" spans="1:8" x14ac:dyDescent="0.3">
      <c r="A185" s="2">
        <v>1450</v>
      </c>
      <c r="B185" s="3">
        <v>45494</v>
      </c>
      <c r="C185" s="2" t="s">
        <v>17</v>
      </c>
      <c r="D185" s="2" t="s">
        <v>18</v>
      </c>
      <c r="E185" s="2" t="s">
        <v>19</v>
      </c>
      <c r="F185" s="2">
        <v>36</v>
      </c>
      <c r="G185" s="4">
        <v>70.37</v>
      </c>
      <c r="H185" s="5">
        <f t="shared" si="2"/>
        <v>2533.3200000000002</v>
      </c>
    </row>
    <row r="186" spans="1:8" x14ac:dyDescent="0.3">
      <c r="A186" s="2">
        <v>1648</v>
      </c>
      <c r="B186" s="3">
        <v>45494</v>
      </c>
      <c r="C186" s="2" t="s">
        <v>9</v>
      </c>
      <c r="D186" s="2" t="s">
        <v>21</v>
      </c>
      <c r="E186" s="2" t="s">
        <v>11</v>
      </c>
      <c r="F186" s="2">
        <v>31</v>
      </c>
      <c r="G186" s="4">
        <v>149.65</v>
      </c>
      <c r="H186" s="5">
        <f t="shared" si="2"/>
        <v>4639.1500000000005</v>
      </c>
    </row>
    <row r="187" spans="1:8" x14ac:dyDescent="0.3">
      <c r="A187" s="2">
        <v>1100</v>
      </c>
      <c r="B187" s="3">
        <v>45496</v>
      </c>
      <c r="C187" s="2" t="s">
        <v>17</v>
      </c>
      <c r="D187" s="2" t="s">
        <v>24</v>
      </c>
      <c r="E187" s="2" t="s">
        <v>19</v>
      </c>
      <c r="F187" s="2">
        <v>30</v>
      </c>
      <c r="G187" s="4">
        <v>85.6</v>
      </c>
      <c r="H187" s="5">
        <f t="shared" si="2"/>
        <v>2568</v>
      </c>
    </row>
    <row r="188" spans="1:8" x14ac:dyDescent="0.3">
      <c r="A188" s="2">
        <v>1379</v>
      </c>
      <c r="B188" s="3">
        <v>45497</v>
      </c>
      <c r="C188" s="2" t="s">
        <v>12</v>
      </c>
      <c r="D188" s="2" t="s">
        <v>18</v>
      </c>
      <c r="E188" s="2" t="s">
        <v>25</v>
      </c>
      <c r="F188" s="2">
        <v>26</v>
      </c>
      <c r="G188" s="4">
        <v>46.55</v>
      </c>
      <c r="H188" s="5">
        <f t="shared" si="2"/>
        <v>1210.3</v>
      </c>
    </row>
    <row r="189" spans="1:8" x14ac:dyDescent="0.3">
      <c r="A189" s="2">
        <v>1120</v>
      </c>
      <c r="B189" s="3">
        <v>45498</v>
      </c>
      <c r="C189" s="2" t="s">
        <v>12</v>
      </c>
      <c r="D189" s="2" t="s">
        <v>13</v>
      </c>
      <c r="E189" s="2" t="s">
        <v>14</v>
      </c>
      <c r="F189" s="2">
        <v>34</v>
      </c>
      <c r="G189" s="4">
        <v>97.43</v>
      </c>
      <c r="H189" s="5">
        <f t="shared" si="2"/>
        <v>3312.6200000000003</v>
      </c>
    </row>
    <row r="190" spans="1:8" x14ac:dyDescent="0.3">
      <c r="A190" s="2">
        <v>1613</v>
      </c>
      <c r="B190" s="3">
        <v>45500</v>
      </c>
      <c r="C190" s="2" t="s">
        <v>9</v>
      </c>
      <c r="D190" s="2" t="s">
        <v>24</v>
      </c>
      <c r="E190" s="2" t="s">
        <v>11</v>
      </c>
      <c r="F190" s="2">
        <v>8</v>
      </c>
      <c r="G190" s="4">
        <v>218.79</v>
      </c>
      <c r="H190" s="5">
        <f t="shared" si="2"/>
        <v>1750.32</v>
      </c>
    </row>
    <row r="191" spans="1:8" x14ac:dyDescent="0.3">
      <c r="A191" s="2">
        <v>1466</v>
      </c>
      <c r="B191" s="3">
        <v>45503</v>
      </c>
      <c r="C191" s="2" t="s">
        <v>12</v>
      </c>
      <c r="D191" s="2" t="s">
        <v>24</v>
      </c>
      <c r="E191" s="2" t="s">
        <v>14</v>
      </c>
      <c r="F191" s="2">
        <v>8</v>
      </c>
      <c r="G191" s="4">
        <v>177.25</v>
      </c>
      <c r="H191" s="5">
        <f t="shared" si="2"/>
        <v>1418</v>
      </c>
    </row>
    <row r="192" spans="1:8" x14ac:dyDescent="0.3">
      <c r="A192" s="2">
        <v>1117</v>
      </c>
      <c r="B192" s="3">
        <v>45504</v>
      </c>
      <c r="C192" s="2" t="s">
        <v>15</v>
      </c>
      <c r="D192" s="2" t="s">
        <v>10</v>
      </c>
      <c r="E192" s="2" t="s">
        <v>23</v>
      </c>
      <c r="F192" s="2">
        <v>22</v>
      </c>
      <c r="G192" s="4">
        <v>32.65</v>
      </c>
      <c r="H192" s="5">
        <f t="shared" si="2"/>
        <v>718.3</v>
      </c>
    </row>
    <row r="193" spans="1:8" x14ac:dyDescent="0.3">
      <c r="A193" s="2">
        <v>1556</v>
      </c>
      <c r="B193" s="3">
        <v>45506</v>
      </c>
      <c r="C193" s="2" t="s">
        <v>17</v>
      </c>
      <c r="D193" s="2" t="s">
        <v>24</v>
      </c>
      <c r="E193" s="2" t="s">
        <v>19</v>
      </c>
      <c r="F193" s="2">
        <v>9</v>
      </c>
      <c r="G193" s="4">
        <v>138.34</v>
      </c>
      <c r="H193" s="5">
        <f t="shared" si="2"/>
        <v>1245.06</v>
      </c>
    </row>
    <row r="194" spans="1:8" x14ac:dyDescent="0.3">
      <c r="A194" s="2">
        <v>1121</v>
      </c>
      <c r="B194" s="3">
        <v>45507</v>
      </c>
      <c r="C194" s="2" t="s">
        <v>15</v>
      </c>
      <c r="D194" s="2" t="s">
        <v>21</v>
      </c>
      <c r="E194" s="2" t="s">
        <v>16</v>
      </c>
      <c r="F194" s="2">
        <v>32</v>
      </c>
      <c r="G194" s="4">
        <v>117.77</v>
      </c>
      <c r="H194" s="5">
        <f t="shared" ref="H194:H257" si="3">F194*G194</f>
        <v>3768.64</v>
      </c>
    </row>
    <row r="195" spans="1:8" x14ac:dyDescent="0.3">
      <c r="A195" s="2">
        <v>1264</v>
      </c>
      <c r="B195" s="3">
        <v>45507</v>
      </c>
      <c r="C195" s="2" t="s">
        <v>9</v>
      </c>
      <c r="D195" s="2" t="s">
        <v>13</v>
      </c>
      <c r="E195" s="2" t="s">
        <v>11</v>
      </c>
      <c r="F195" s="2">
        <v>40</v>
      </c>
      <c r="G195" s="4">
        <v>152.59</v>
      </c>
      <c r="H195" s="5">
        <f t="shared" si="3"/>
        <v>6103.6</v>
      </c>
    </row>
    <row r="196" spans="1:8" x14ac:dyDescent="0.3">
      <c r="A196" s="2">
        <v>1140</v>
      </c>
      <c r="B196" s="3">
        <v>45510</v>
      </c>
      <c r="C196" s="2" t="s">
        <v>12</v>
      </c>
      <c r="D196" s="2" t="s">
        <v>10</v>
      </c>
      <c r="E196" s="2" t="s">
        <v>25</v>
      </c>
      <c r="F196" s="2">
        <v>4</v>
      </c>
      <c r="G196" s="4">
        <v>30.77</v>
      </c>
      <c r="H196" s="5">
        <f t="shared" si="3"/>
        <v>123.08</v>
      </c>
    </row>
    <row r="197" spans="1:8" x14ac:dyDescent="0.3">
      <c r="A197" s="2">
        <v>1547</v>
      </c>
      <c r="B197" s="3">
        <v>45510</v>
      </c>
      <c r="C197" s="2" t="s">
        <v>17</v>
      </c>
      <c r="D197" s="2" t="s">
        <v>13</v>
      </c>
      <c r="E197" s="2" t="s">
        <v>19</v>
      </c>
      <c r="F197" s="2">
        <v>2</v>
      </c>
      <c r="G197" s="4">
        <v>62.12</v>
      </c>
      <c r="H197" s="5">
        <f t="shared" si="3"/>
        <v>124.24</v>
      </c>
    </row>
    <row r="198" spans="1:8" x14ac:dyDescent="0.3">
      <c r="A198" s="2">
        <v>1392</v>
      </c>
      <c r="B198" s="3">
        <v>45513</v>
      </c>
      <c r="C198" s="2" t="s">
        <v>17</v>
      </c>
      <c r="D198" s="2" t="s">
        <v>24</v>
      </c>
      <c r="E198" s="2" t="s">
        <v>20</v>
      </c>
      <c r="F198" s="2">
        <v>5</v>
      </c>
      <c r="G198" s="4">
        <v>130.74</v>
      </c>
      <c r="H198" s="5">
        <f t="shared" si="3"/>
        <v>653.70000000000005</v>
      </c>
    </row>
    <row r="199" spans="1:8" x14ac:dyDescent="0.3">
      <c r="A199" s="2">
        <v>1437</v>
      </c>
      <c r="B199" s="3">
        <v>45513</v>
      </c>
      <c r="C199" s="2" t="s">
        <v>15</v>
      </c>
      <c r="D199" s="2" t="s">
        <v>13</v>
      </c>
      <c r="E199" s="2" t="s">
        <v>23</v>
      </c>
      <c r="F199" s="2">
        <v>31</v>
      </c>
      <c r="G199" s="4">
        <v>77.02</v>
      </c>
      <c r="H199" s="5">
        <f t="shared" si="3"/>
        <v>2387.62</v>
      </c>
    </row>
    <row r="200" spans="1:8" x14ac:dyDescent="0.3">
      <c r="A200" s="2">
        <v>1083</v>
      </c>
      <c r="B200" s="3">
        <v>45515</v>
      </c>
      <c r="C200" s="2" t="s">
        <v>17</v>
      </c>
      <c r="D200" s="2" t="s">
        <v>18</v>
      </c>
      <c r="E200" s="2" t="s">
        <v>20</v>
      </c>
      <c r="F200" s="2">
        <v>6</v>
      </c>
      <c r="G200" s="4">
        <v>40.15</v>
      </c>
      <c r="H200" s="5">
        <f t="shared" si="3"/>
        <v>240.89999999999998</v>
      </c>
    </row>
    <row r="201" spans="1:8" x14ac:dyDescent="0.3">
      <c r="A201" s="2">
        <v>1356</v>
      </c>
      <c r="B201" s="3">
        <v>45515</v>
      </c>
      <c r="C201" s="2" t="s">
        <v>17</v>
      </c>
      <c r="D201" s="2" t="s">
        <v>10</v>
      </c>
      <c r="E201" s="2" t="s">
        <v>20</v>
      </c>
      <c r="F201" s="2">
        <v>12</v>
      </c>
      <c r="G201" s="4">
        <v>16.899999999999999</v>
      </c>
      <c r="H201" s="5">
        <f t="shared" si="3"/>
        <v>202.79999999999998</v>
      </c>
    </row>
    <row r="202" spans="1:8" x14ac:dyDescent="0.3">
      <c r="A202" s="2">
        <v>1449</v>
      </c>
      <c r="B202" s="3">
        <v>45516</v>
      </c>
      <c r="C202" s="2" t="s">
        <v>12</v>
      </c>
      <c r="D202" s="2" t="s">
        <v>13</v>
      </c>
      <c r="E202" s="2" t="s">
        <v>25</v>
      </c>
      <c r="F202" s="2">
        <v>28</v>
      </c>
      <c r="G202" s="4">
        <v>131.49</v>
      </c>
      <c r="H202" s="5">
        <f t="shared" si="3"/>
        <v>3681.7200000000003</v>
      </c>
    </row>
    <row r="203" spans="1:8" x14ac:dyDescent="0.3">
      <c r="A203" s="2">
        <v>1343</v>
      </c>
      <c r="B203" s="3">
        <v>45517</v>
      </c>
      <c r="C203" s="2" t="s">
        <v>12</v>
      </c>
      <c r="D203" s="2" t="s">
        <v>10</v>
      </c>
      <c r="E203" s="2" t="s">
        <v>14</v>
      </c>
      <c r="F203" s="2">
        <v>9</v>
      </c>
      <c r="G203" s="4">
        <v>54.44</v>
      </c>
      <c r="H203" s="5">
        <f t="shared" si="3"/>
        <v>489.96</v>
      </c>
    </row>
    <row r="204" spans="1:8" x14ac:dyDescent="0.3">
      <c r="A204" s="2">
        <v>1206</v>
      </c>
      <c r="B204" s="3">
        <v>45518</v>
      </c>
      <c r="C204" s="2" t="s">
        <v>9</v>
      </c>
      <c r="D204" s="2" t="s">
        <v>21</v>
      </c>
      <c r="E204" s="2" t="s">
        <v>22</v>
      </c>
      <c r="F204" s="2">
        <v>24</v>
      </c>
      <c r="G204" s="4">
        <v>74.3</v>
      </c>
      <c r="H204" s="5">
        <f t="shared" si="3"/>
        <v>1783.1999999999998</v>
      </c>
    </row>
    <row r="205" spans="1:8" x14ac:dyDescent="0.3">
      <c r="A205" s="2">
        <v>1034</v>
      </c>
      <c r="B205" s="3">
        <v>45520</v>
      </c>
      <c r="C205" s="2" t="s">
        <v>17</v>
      </c>
      <c r="D205" s="2" t="s">
        <v>18</v>
      </c>
      <c r="E205" s="2" t="s">
        <v>20</v>
      </c>
      <c r="F205" s="2">
        <v>26</v>
      </c>
      <c r="G205" s="4">
        <v>75.459999999999994</v>
      </c>
      <c r="H205" s="5">
        <f t="shared" si="3"/>
        <v>1961.9599999999998</v>
      </c>
    </row>
    <row r="206" spans="1:8" x14ac:dyDescent="0.3">
      <c r="A206" s="2">
        <v>1367</v>
      </c>
      <c r="B206" s="3">
        <v>45521</v>
      </c>
      <c r="C206" s="2" t="s">
        <v>9</v>
      </c>
      <c r="D206" s="2" t="s">
        <v>18</v>
      </c>
      <c r="E206" s="2" t="s">
        <v>11</v>
      </c>
      <c r="F206" s="2">
        <v>36</v>
      </c>
      <c r="G206" s="4">
        <v>38.39</v>
      </c>
      <c r="H206" s="5">
        <f t="shared" si="3"/>
        <v>1382.04</v>
      </c>
    </row>
    <row r="207" spans="1:8" x14ac:dyDescent="0.3">
      <c r="A207" s="2">
        <v>1445</v>
      </c>
      <c r="B207" s="3">
        <v>45523</v>
      </c>
      <c r="C207" s="2" t="s">
        <v>17</v>
      </c>
      <c r="D207" s="2" t="s">
        <v>18</v>
      </c>
      <c r="E207" s="2" t="s">
        <v>19</v>
      </c>
      <c r="F207" s="2">
        <v>26</v>
      </c>
      <c r="G207" s="4">
        <v>36.18</v>
      </c>
      <c r="H207" s="5">
        <f t="shared" si="3"/>
        <v>940.68</v>
      </c>
    </row>
    <row r="208" spans="1:8" x14ac:dyDescent="0.3">
      <c r="A208" s="2">
        <v>1035</v>
      </c>
      <c r="B208" s="3">
        <v>45524</v>
      </c>
      <c r="C208" s="2" t="s">
        <v>9</v>
      </c>
      <c r="D208" s="2" t="s">
        <v>10</v>
      </c>
      <c r="E208" s="2" t="s">
        <v>22</v>
      </c>
      <c r="F208" s="2">
        <v>2</v>
      </c>
      <c r="G208" s="4">
        <v>27.78</v>
      </c>
      <c r="H208" s="5">
        <f t="shared" si="3"/>
        <v>55.56</v>
      </c>
    </row>
    <row r="209" spans="1:8" x14ac:dyDescent="0.3">
      <c r="A209" s="2">
        <v>1038</v>
      </c>
      <c r="B209" s="3">
        <v>45524</v>
      </c>
      <c r="C209" s="2" t="s">
        <v>15</v>
      </c>
      <c r="D209" s="2" t="s">
        <v>18</v>
      </c>
      <c r="E209" s="2" t="s">
        <v>16</v>
      </c>
      <c r="F209" s="2">
        <v>40</v>
      </c>
      <c r="G209" s="4">
        <v>30.33</v>
      </c>
      <c r="H209" s="5">
        <f t="shared" si="3"/>
        <v>1213.1999999999998</v>
      </c>
    </row>
    <row r="210" spans="1:8" x14ac:dyDescent="0.3">
      <c r="A210" s="2">
        <v>1408</v>
      </c>
      <c r="B210" s="3">
        <v>45526</v>
      </c>
      <c r="C210" s="2" t="s">
        <v>12</v>
      </c>
      <c r="D210" s="2" t="s">
        <v>13</v>
      </c>
      <c r="E210" s="2" t="s">
        <v>14</v>
      </c>
      <c r="F210" s="2">
        <v>36</v>
      </c>
      <c r="G210" s="4">
        <v>112.66</v>
      </c>
      <c r="H210" s="5">
        <f t="shared" si="3"/>
        <v>4055.7599999999998</v>
      </c>
    </row>
    <row r="211" spans="1:8" x14ac:dyDescent="0.3">
      <c r="A211" s="2">
        <v>1095</v>
      </c>
      <c r="B211" s="3">
        <v>45528</v>
      </c>
      <c r="C211" s="2" t="s">
        <v>15</v>
      </c>
      <c r="D211" s="2" t="s">
        <v>13</v>
      </c>
      <c r="E211" s="2" t="s">
        <v>16</v>
      </c>
      <c r="F211" s="2">
        <v>19</v>
      </c>
      <c r="G211" s="4">
        <v>38.43</v>
      </c>
      <c r="H211" s="5">
        <f t="shared" si="3"/>
        <v>730.17</v>
      </c>
    </row>
    <row r="212" spans="1:8" x14ac:dyDescent="0.3">
      <c r="A212" s="2">
        <v>1443</v>
      </c>
      <c r="B212" s="3">
        <v>45529</v>
      </c>
      <c r="C212" s="2" t="s">
        <v>17</v>
      </c>
      <c r="D212" s="2" t="s">
        <v>18</v>
      </c>
      <c r="E212" s="2" t="s">
        <v>20</v>
      </c>
      <c r="F212" s="2">
        <v>24</v>
      </c>
      <c r="G212" s="4">
        <v>20.11</v>
      </c>
      <c r="H212" s="5">
        <f t="shared" si="3"/>
        <v>482.64</v>
      </c>
    </row>
    <row r="213" spans="1:8" x14ac:dyDescent="0.3">
      <c r="A213" s="2">
        <v>1128</v>
      </c>
      <c r="B213" s="3">
        <v>45530</v>
      </c>
      <c r="C213" s="2" t="s">
        <v>12</v>
      </c>
      <c r="D213" s="2" t="s">
        <v>21</v>
      </c>
      <c r="E213" s="2" t="s">
        <v>25</v>
      </c>
      <c r="F213" s="2">
        <v>34</v>
      </c>
      <c r="G213" s="4">
        <v>101.44</v>
      </c>
      <c r="H213" s="5">
        <f t="shared" si="3"/>
        <v>3448.96</v>
      </c>
    </row>
    <row r="214" spans="1:8" x14ac:dyDescent="0.3">
      <c r="A214" s="2">
        <v>1226</v>
      </c>
      <c r="B214" s="3">
        <v>45531</v>
      </c>
      <c r="C214" s="2" t="s">
        <v>17</v>
      </c>
      <c r="D214" s="2" t="s">
        <v>18</v>
      </c>
      <c r="E214" s="2" t="s">
        <v>19</v>
      </c>
      <c r="F214" s="2">
        <v>5</v>
      </c>
      <c r="G214" s="4">
        <v>61.7</v>
      </c>
      <c r="H214" s="5">
        <f t="shared" si="3"/>
        <v>308.5</v>
      </c>
    </row>
    <row r="215" spans="1:8" x14ac:dyDescent="0.3">
      <c r="A215" s="2">
        <v>1336</v>
      </c>
      <c r="B215" s="3">
        <v>45532</v>
      </c>
      <c r="C215" s="2" t="s">
        <v>9</v>
      </c>
      <c r="D215" s="2" t="s">
        <v>18</v>
      </c>
      <c r="E215" s="2" t="s">
        <v>11</v>
      </c>
      <c r="F215" s="2">
        <v>23</v>
      </c>
      <c r="G215" s="4">
        <v>85.63</v>
      </c>
      <c r="H215" s="5">
        <f t="shared" si="3"/>
        <v>1969.4899999999998</v>
      </c>
    </row>
    <row r="216" spans="1:8" x14ac:dyDescent="0.3">
      <c r="A216" s="2">
        <v>1575</v>
      </c>
      <c r="B216" s="3">
        <v>45532</v>
      </c>
      <c r="C216" s="2" t="s">
        <v>15</v>
      </c>
      <c r="D216" s="2" t="s">
        <v>21</v>
      </c>
      <c r="E216" s="2" t="s">
        <v>23</v>
      </c>
      <c r="F216" s="2">
        <v>34</v>
      </c>
      <c r="G216" s="4">
        <v>71.16</v>
      </c>
      <c r="H216" s="5">
        <f t="shared" si="3"/>
        <v>2419.44</v>
      </c>
    </row>
    <row r="217" spans="1:8" x14ac:dyDescent="0.3">
      <c r="A217" s="2">
        <v>1434</v>
      </c>
      <c r="B217" s="3">
        <v>45534</v>
      </c>
      <c r="C217" s="2" t="s">
        <v>15</v>
      </c>
      <c r="D217" s="2" t="s">
        <v>24</v>
      </c>
      <c r="E217" s="2" t="s">
        <v>16</v>
      </c>
      <c r="F217" s="2">
        <v>22</v>
      </c>
      <c r="G217" s="4">
        <v>292.57</v>
      </c>
      <c r="H217" s="5">
        <f t="shared" si="3"/>
        <v>6436.54</v>
      </c>
    </row>
    <row r="218" spans="1:8" x14ac:dyDescent="0.3">
      <c r="A218" s="2">
        <v>1528</v>
      </c>
      <c r="B218" s="3">
        <v>45534</v>
      </c>
      <c r="C218" s="2" t="s">
        <v>12</v>
      </c>
      <c r="D218" s="2" t="s">
        <v>18</v>
      </c>
      <c r="E218" s="2" t="s">
        <v>25</v>
      </c>
      <c r="F218" s="2">
        <v>13</v>
      </c>
      <c r="G218" s="4">
        <v>44.97</v>
      </c>
      <c r="H218" s="5">
        <f t="shared" si="3"/>
        <v>584.61</v>
      </c>
    </row>
    <row r="219" spans="1:8" x14ac:dyDescent="0.3">
      <c r="A219" s="2">
        <v>1571</v>
      </c>
      <c r="B219" s="3">
        <v>45536</v>
      </c>
      <c r="C219" s="2" t="s">
        <v>17</v>
      </c>
      <c r="D219" s="2" t="s">
        <v>10</v>
      </c>
      <c r="E219" s="2" t="s">
        <v>19</v>
      </c>
      <c r="F219" s="2">
        <v>13</v>
      </c>
      <c r="G219" s="4">
        <v>59.55</v>
      </c>
      <c r="H219" s="5">
        <f t="shared" si="3"/>
        <v>774.15</v>
      </c>
    </row>
    <row r="220" spans="1:8" x14ac:dyDescent="0.3">
      <c r="A220" s="2">
        <v>1579</v>
      </c>
      <c r="B220" s="3">
        <v>45536</v>
      </c>
      <c r="C220" s="2" t="s">
        <v>9</v>
      </c>
      <c r="D220" s="2" t="s">
        <v>18</v>
      </c>
      <c r="E220" s="2" t="s">
        <v>22</v>
      </c>
      <c r="F220" s="2">
        <v>3</v>
      </c>
      <c r="G220" s="4">
        <v>28.33</v>
      </c>
      <c r="H220" s="5">
        <f t="shared" si="3"/>
        <v>84.99</v>
      </c>
    </row>
    <row r="221" spans="1:8" x14ac:dyDescent="0.3">
      <c r="A221" s="2">
        <v>1502</v>
      </c>
      <c r="B221" s="3">
        <v>45537</v>
      </c>
      <c r="C221" s="2" t="s">
        <v>17</v>
      </c>
      <c r="D221" s="2" t="s">
        <v>10</v>
      </c>
      <c r="E221" s="2" t="s">
        <v>19</v>
      </c>
      <c r="F221" s="2">
        <v>3</v>
      </c>
      <c r="G221" s="4">
        <v>46.09</v>
      </c>
      <c r="H221" s="5">
        <f t="shared" si="3"/>
        <v>138.27000000000001</v>
      </c>
    </row>
    <row r="222" spans="1:8" x14ac:dyDescent="0.3">
      <c r="A222" s="2">
        <v>1551</v>
      </c>
      <c r="B222" s="3">
        <v>45539</v>
      </c>
      <c r="C222" s="2" t="s">
        <v>9</v>
      </c>
      <c r="D222" s="2" t="s">
        <v>21</v>
      </c>
      <c r="E222" s="2" t="s">
        <v>11</v>
      </c>
      <c r="F222" s="2">
        <v>28</v>
      </c>
      <c r="G222" s="4">
        <v>62.39</v>
      </c>
      <c r="H222" s="5">
        <f t="shared" si="3"/>
        <v>1746.92</v>
      </c>
    </row>
    <row r="223" spans="1:8" x14ac:dyDescent="0.3">
      <c r="A223" s="2">
        <v>1588</v>
      </c>
      <c r="B223" s="3">
        <v>45539</v>
      </c>
      <c r="C223" s="2" t="s">
        <v>17</v>
      </c>
      <c r="D223" s="2" t="s">
        <v>13</v>
      </c>
      <c r="E223" s="2" t="s">
        <v>20</v>
      </c>
      <c r="F223" s="2">
        <v>32</v>
      </c>
      <c r="G223" s="4">
        <v>116.91</v>
      </c>
      <c r="H223" s="5">
        <f t="shared" si="3"/>
        <v>3741.12</v>
      </c>
    </row>
    <row r="224" spans="1:8" x14ac:dyDescent="0.3">
      <c r="A224" s="2">
        <v>1162</v>
      </c>
      <c r="B224" s="3">
        <v>45543</v>
      </c>
      <c r="C224" s="2" t="s">
        <v>9</v>
      </c>
      <c r="D224" s="2" t="s">
        <v>18</v>
      </c>
      <c r="E224" s="2" t="s">
        <v>22</v>
      </c>
      <c r="F224" s="2">
        <v>38</v>
      </c>
      <c r="G224" s="4">
        <v>81.31</v>
      </c>
      <c r="H224" s="5">
        <f t="shared" si="3"/>
        <v>3089.78</v>
      </c>
    </row>
    <row r="225" spans="1:8" x14ac:dyDescent="0.3">
      <c r="A225" s="2">
        <v>1348</v>
      </c>
      <c r="B225" s="3">
        <v>45544</v>
      </c>
      <c r="C225" s="2" t="s">
        <v>9</v>
      </c>
      <c r="D225" s="2" t="s">
        <v>24</v>
      </c>
      <c r="E225" s="2" t="s">
        <v>22</v>
      </c>
      <c r="F225" s="2">
        <v>19</v>
      </c>
      <c r="G225" s="4">
        <v>262.72000000000003</v>
      </c>
      <c r="H225" s="5">
        <f t="shared" si="3"/>
        <v>4991.68</v>
      </c>
    </row>
    <row r="226" spans="1:8" x14ac:dyDescent="0.3">
      <c r="A226" s="2">
        <v>1018</v>
      </c>
      <c r="B226" s="3">
        <v>45545</v>
      </c>
      <c r="C226" s="2" t="s">
        <v>15</v>
      </c>
      <c r="D226" s="2" t="s">
        <v>13</v>
      </c>
      <c r="E226" s="2" t="s">
        <v>16</v>
      </c>
      <c r="F226" s="2">
        <v>29</v>
      </c>
      <c r="G226" s="4">
        <v>39.1</v>
      </c>
      <c r="H226" s="5">
        <f t="shared" si="3"/>
        <v>1133.9000000000001</v>
      </c>
    </row>
    <row r="227" spans="1:8" x14ac:dyDescent="0.3">
      <c r="A227" s="2">
        <v>1362</v>
      </c>
      <c r="B227" s="3">
        <v>45546</v>
      </c>
      <c r="C227" s="2" t="s">
        <v>9</v>
      </c>
      <c r="D227" s="2" t="s">
        <v>10</v>
      </c>
      <c r="E227" s="2" t="s">
        <v>22</v>
      </c>
      <c r="F227" s="2">
        <v>24</v>
      </c>
      <c r="G227" s="4">
        <v>11.83</v>
      </c>
      <c r="H227" s="5">
        <f t="shared" si="3"/>
        <v>283.92</v>
      </c>
    </row>
    <row r="228" spans="1:8" x14ac:dyDescent="0.3">
      <c r="A228" s="2">
        <v>1197</v>
      </c>
      <c r="B228" s="3">
        <v>45550</v>
      </c>
      <c r="C228" s="2" t="s">
        <v>9</v>
      </c>
      <c r="D228" s="2" t="s">
        <v>21</v>
      </c>
      <c r="E228" s="2" t="s">
        <v>22</v>
      </c>
      <c r="F228" s="2">
        <v>30</v>
      </c>
      <c r="G228" s="4">
        <v>137.66</v>
      </c>
      <c r="H228" s="5">
        <f t="shared" si="3"/>
        <v>4129.8</v>
      </c>
    </row>
    <row r="229" spans="1:8" x14ac:dyDescent="0.3">
      <c r="A229" s="2">
        <v>1524</v>
      </c>
      <c r="B229" s="3">
        <v>45550</v>
      </c>
      <c r="C229" s="2" t="s">
        <v>17</v>
      </c>
      <c r="D229" s="2" t="s">
        <v>24</v>
      </c>
      <c r="E229" s="2" t="s">
        <v>20</v>
      </c>
      <c r="F229" s="2">
        <v>6</v>
      </c>
      <c r="G229" s="4">
        <v>266.67</v>
      </c>
      <c r="H229" s="5">
        <f t="shared" si="3"/>
        <v>1600.02</v>
      </c>
    </row>
    <row r="230" spans="1:8" x14ac:dyDescent="0.3">
      <c r="A230" s="2">
        <v>1586</v>
      </c>
      <c r="B230" s="3">
        <v>45550</v>
      </c>
      <c r="C230" s="2" t="s">
        <v>12</v>
      </c>
      <c r="D230" s="2" t="s">
        <v>10</v>
      </c>
      <c r="E230" s="2" t="s">
        <v>25</v>
      </c>
      <c r="F230" s="2">
        <v>17</v>
      </c>
      <c r="G230" s="4">
        <v>10.039999999999999</v>
      </c>
      <c r="H230" s="5">
        <f t="shared" si="3"/>
        <v>170.67999999999998</v>
      </c>
    </row>
    <row r="231" spans="1:8" x14ac:dyDescent="0.3">
      <c r="A231" s="2">
        <v>1205</v>
      </c>
      <c r="B231" s="3">
        <v>45551</v>
      </c>
      <c r="C231" s="2" t="s">
        <v>17</v>
      </c>
      <c r="D231" s="2" t="s">
        <v>10</v>
      </c>
      <c r="E231" s="2" t="s">
        <v>19</v>
      </c>
      <c r="F231" s="2">
        <v>3</v>
      </c>
      <c r="G231" s="4">
        <v>46.65</v>
      </c>
      <c r="H231" s="5">
        <f t="shared" si="3"/>
        <v>139.94999999999999</v>
      </c>
    </row>
    <row r="232" spans="1:8" x14ac:dyDescent="0.3">
      <c r="A232" s="2">
        <v>1452</v>
      </c>
      <c r="B232" s="3">
        <v>45552</v>
      </c>
      <c r="C232" s="2" t="s">
        <v>15</v>
      </c>
      <c r="D232" s="2" t="s">
        <v>10</v>
      </c>
      <c r="E232" s="2" t="s">
        <v>16</v>
      </c>
      <c r="F232" s="2">
        <v>8</v>
      </c>
      <c r="G232" s="4">
        <v>56.78</v>
      </c>
      <c r="H232" s="5">
        <f t="shared" si="3"/>
        <v>454.24</v>
      </c>
    </row>
    <row r="233" spans="1:8" x14ac:dyDescent="0.3">
      <c r="A233" s="2">
        <v>1115</v>
      </c>
      <c r="B233" s="3">
        <v>45553</v>
      </c>
      <c r="C233" s="2" t="s">
        <v>17</v>
      </c>
      <c r="D233" s="2" t="s">
        <v>13</v>
      </c>
      <c r="E233" s="2" t="s">
        <v>20</v>
      </c>
      <c r="F233" s="2">
        <v>36</v>
      </c>
      <c r="G233" s="4">
        <v>77.650000000000006</v>
      </c>
      <c r="H233" s="5">
        <f t="shared" si="3"/>
        <v>2795.4</v>
      </c>
    </row>
    <row r="234" spans="1:8" x14ac:dyDescent="0.3">
      <c r="A234" s="2">
        <v>1605</v>
      </c>
      <c r="B234" s="3">
        <v>45553</v>
      </c>
      <c r="C234" s="2" t="s">
        <v>17</v>
      </c>
      <c r="D234" s="2" t="s">
        <v>10</v>
      </c>
      <c r="E234" s="2" t="s">
        <v>19</v>
      </c>
      <c r="F234" s="2">
        <v>27</v>
      </c>
      <c r="G234" s="4">
        <v>35.549999999999997</v>
      </c>
      <c r="H234" s="5">
        <f t="shared" si="3"/>
        <v>959.84999999999991</v>
      </c>
    </row>
    <row r="235" spans="1:8" x14ac:dyDescent="0.3">
      <c r="A235" s="2">
        <v>1255</v>
      </c>
      <c r="B235" s="3">
        <v>45555</v>
      </c>
      <c r="C235" s="2" t="s">
        <v>15</v>
      </c>
      <c r="D235" s="2" t="s">
        <v>24</v>
      </c>
      <c r="E235" s="2" t="s">
        <v>23</v>
      </c>
      <c r="F235" s="2">
        <v>28</v>
      </c>
      <c r="G235" s="4">
        <v>370.56</v>
      </c>
      <c r="H235" s="5">
        <f t="shared" si="3"/>
        <v>10375.68</v>
      </c>
    </row>
    <row r="236" spans="1:8" x14ac:dyDescent="0.3">
      <c r="A236" s="2">
        <v>1506</v>
      </c>
      <c r="B236" s="3">
        <v>45556</v>
      </c>
      <c r="C236" s="2" t="s">
        <v>9</v>
      </c>
      <c r="D236" s="2" t="s">
        <v>18</v>
      </c>
      <c r="E236" s="2" t="s">
        <v>22</v>
      </c>
      <c r="F236" s="2">
        <v>25</v>
      </c>
      <c r="G236" s="4">
        <v>80.53</v>
      </c>
      <c r="H236" s="5">
        <f t="shared" si="3"/>
        <v>2013.25</v>
      </c>
    </row>
    <row r="237" spans="1:8" x14ac:dyDescent="0.3">
      <c r="A237" s="2">
        <v>1540</v>
      </c>
      <c r="B237" s="3">
        <v>45556</v>
      </c>
      <c r="C237" s="2" t="s">
        <v>15</v>
      </c>
      <c r="D237" s="2" t="s">
        <v>24</v>
      </c>
      <c r="E237" s="2" t="s">
        <v>16</v>
      </c>
      <c r="F237" s="2">
        <v>36</v>
      </c>
      <c r="G237" s="4">
        <v>288.52999999999997</v>
      </c>
      <c r="H237" s="5">
        <f t="shared" si="3"/>
        <v>10387.079999999998</v>
      </c>
    </row>
    <row r="238" spans="1:8" x14ac:dyDescent="0.3">
      <c r="A238" s="2">
        <v>1240</v>
      </c>
      <c r="B238" s="3">
        <v>45558</v>
      </c>
      <c r="C238" s="2" t="s">
        <v>9</v>
      </c>
      <c r="D238" s="2" t="s">
        <v>21</v>
      </c>
      <c r="E238" s="2" t="s">
        <v>11</v>
      </c>
      <c r="F238" s="2">
        <v>15</v>
      </c>
      <c r="G238" s="4">
        <v>141.97999999999999</v>
      </c>
      <c r="H238" s="5">
        <f t="shared" si="3"/>
        <v>2129.6999999999998</v>
      </c>
    </row>
    <row r="239" spans="1:8" x14ac:dyDescent="0.3">
      <c r="A239" s="2">
        <v>1220</v>
      </c>
      <c r="B239" s="3">
        <v>45559</v>
      </c>
      <c r="C239" s="2" t="s">
        <v>9</v>
      </c>
      <c r="D239" s="2" t="s">
        <v>24</v>
      </c>
      <c r="E239" s="2" t="s">
        <v>11</v>
      </c>
      <c r="F239" s="2">
        <v>17</v>
      </c>
      <c r="G239" s="4">
        <v>187.37</v>
      </c>
      <c r="H239" s="5">
        <f t="shared" si="3"/>
        <v>3185.29</v>
      </c>
    </row>
    <row r="240" spans="1:8" x14ac:dyDescent="0.3">
      <c r="A240" s="2">
        <v>1330</v>
      </c>
      <c r="B240" s="3">
        <v>45559</v>
      </c>
      <c r="C240" s="2" t="s">
        <v>17</v>
      </c>
      <c r="D240" s="2" t="s">
        <v>13</v>
      </c>
      <c r="E240" s="2" t="s">
        <v>20</v>
      </c>
      <c r="F240" s="2">
        <v>38</v>
      </c>
      <c r="G240" s="4">
        <v>190.64</v>
      </c>
      <c r="H240" s="5">
        <f t="shared" si="3"/>
        <v>7244.32</v>
      </c>
    </row>
    <row r="241" spans="1:8" x14ac:dyDescent="0.3">
      <c r="A241" s="2">
        <v>1491</v>
      </c>
      <c r="B241" s="3">
        <v>45559</v>
      </c>
      <c r="C241" s="2" t="s">
        <v>12</v>
      </c>
      <c r="D241" s="2" t="s">
        <v>18</v>
      </c>
      <c r="E241" s="2" t="s">
        <v>25</v>
      </c>
      <c r="F241" s="2">
        <v>13</v>
      </c>
      <c r="G241" s="4">
        <v>87.64</v>
      </c>
      <c r="H241" s="5">
        <f t="shared" si="3"/>
        <v>1139.32</v>
      </c>
    </row>
    <row r="242" spans="1:8" x14ac:dyDescent="0.3">
      <c r="A242" s="2">
        <v>1072</v>
      </c>
      <c r="B242" s="3">
        <v>45560</v>
      </c>
      <c r="C242" s="2" t="s">
        <v>12</v>
      </c>
      <c r="D242" s="2" t="s">
        <v>18</v>
      </c>
      <c r="E242" s="2" t="s">
        <v>25</v>
      </c>
      <c r="F242" s="2">
        <v>20</v>
      </c>
      <c r="G242" s="4">
        <v>84.92</v>
      </c>
      <c r="H242" s="5">
        <f t="shared" si="3"/>
        <v>1698.4</v>
      </c>
    </row>
    <row r="243" spans="1:8" x14ac:dyDescent="0.3">
      <c r="A243" s="2">
        <v>1577</v>
      </c>
      <c r="B243" s="3">
        <v>45560</v>
      </c>
      <c r="C243" s="2" t="s">
        <v>15</v>
      </c>
      <c r="D243" s="2" t="s">
        <v>21</v>
      </c>
      <c r="E243" s="2" t="s">
        <v>16</v>
      </c>
      <c r="F243" s="2">
        <v>10</v>
      </c>
      <c r="G243" s="4">
        <v>94.19</v>
      </c>
      <c r="H243" s="5">
        <f t="shared" si="3"/>
        <v>941.9</v>
      </c>
    </row>
    <row r="244" spans="1:8" x14ac:dyDescent="0.3">
      <c r="A244" s="2">
        <v>1201</v>
      </c>
      <c r="B244" s="3">
        <v>45562</v>
      </c>
      <c r="C244" s="2" t="s">
        <v>12</v>
      </c>
      <c r="D244" s="2" t="s">
        <v>10</v>
      </c>
      <c r="E244" s="2" t="s">
        <v>25</v>
      </c>
      <c r="F244" s="2">
        <v>24</v>
      </c>
      <c r="G244" s="4">
        <v>41.82</v>
      </c>
      <c r="H244" s="5">
        <f t="shared" si="3"/>
        <v>1003.6800000000001</v>
      </c>
    </row>
    <row r="245" spans="1:8" x14ac:dyDescent="0.3">
      <c r="A245" s="2">
        <v>1641</v>
      </c>
      <c r="B245" s="3">
        <v>45562</v>
      </c>
      <c r="C245" s="2" t="s">
        <v>12</v>
      </c>
      <c r="D245" s="2" t="s">
        <v>13</v>
      </c>
      <c r="E245" s="2" t="s">
        <v>14</v>
      </c>
      <c r="F245" s="2">
        <v>8</v>
      </c>
      <c r="G245" s="4">
        <v>134.24</v>
      </c>
      <c r="H245" s="5">
        <f t="shared" si="3"/>
        <v>1073.92</v>
      </c>
    </row>
    <row r="246" spans="1:8" x14ac:dyDescent="0.3">
      <c r="A246" s="2">
        <v>1158</v>
      </c>
      <c r="B246" s="3">
        <v>45563</v>
      </c>
      <c r="C246" s="2" t="s">
        <v>12</v>
      </c>
      <c r="D246" s="2" t="s">
        <v>18</v>
      </c>
      <c r="E246" s="2" t="s">
        <v>25</v>
      </c>
      <c r="F246" s="2">
        <v>29</v>
      </c>
      <c r="G246" s="4">
        <v>46.58</v>
      </c>
      <c r="H246" s="5">
        <f t="shared" si="3"/>
        <v>1350.82</v>
      </c>
    </row>
    <row r="247" spans="1:8" x14ac:dyDescent="0.3">
      <c r="A247" s="2">
        <v>1203</v>
      </c>
      <c r="B247" s="3">
        <v>45563</v>
      </c>
      <c r="C247" s="2" t="s">
        <v>15</v>
      </c>
      <c r="D247" s="2" t="s">
        <v>21</v>
      </c>
      <c r="E247" s="2" t="s">
        <v>23</v>
      </c>
      <c r="F247" s="2">
        <v>6</v>
      </c>
      <c r="G247" s="4">
        <v>66.83</v>
      </c>
      <c r="H247" s="5">
        <f t="shared" si="3"/>
        <v>400.98</v>
      </c>
    </row>
    <row r="248" spans="1:8" x14ac:dyDescent="0.3">
      <c r="A248" s="2">
        <v>1222</v>
      </c>
      <c r="B248" s="3">
        <v>45563</v>
      </c>
      <c r="C248" s="2" t="s">
        <v>17</v>
      </c>
      <c r="D248" s="2" t="s">
        <v>18</v>
      </c>
      <c r="E248" s="2" t="s">
        <v>20</v>
      </c>
      <c r="F248" s="2">
        <v>1</v>
      </c>
      <c r="G248" s="4">
        <v>81</v>
      </c>
      <c r="H248" s="5">
        <f t="shared" si="3"/>
        <v>81</v>
      </c>
    </row>
    <row r="249" spans="1:8" x14ac:dyDescent="0.3">
      <c r="A249" s="2">
        <v>1381</v>
      </c>
      <c r="B249" s="3">
        <v>45564</v>
      </c>
      <c r="C249" s="2" t="s">
        <v>17</v>
      </c>
      <c r="D249" s="2" t="s">
        <v>10</v>
      </c>
      <c r="E249" s="2" t="s">
        <v>20</v>
      </c>
      <c r="F249" s="2">
        <v>17</v>
      </c>
      <c r="G249" s="4">
        <v>41.06</v>
      </c>
      <c r="H249" s="5">
        <f t="shared" si="3"/>
        <v>698.02</v>
      </c>
    </row>
    <row r="250" spans="1:8" x14ac:dyDescent="0.3">
      <c r="A250" s="2">
        <v>1576</v>
      </c>
      <c r="B250" s="3">
        <v>45564</v>
      </c>
      <c r="C250" s="2" t="s">
        <v>17</v>
      </c>
      <c r="D250" s="2" t="s">
        <v>24</v>
      </c>
      <c r="E250" s="2" t="s">
        <v>20</v>
      </c>
      <c r="F250" s="2">
        <v>17</v>
      </c>
      <c r="G250" s="4">
        <v>375.66</v>
      </c>
      <c r="H250" s="5">
        <f t="shared" si="3"/>
        <v>6386.22</v>
      </c>
    </row>
    <row r="251" spans="1:8" x14ac:dyDescent="0.3">
      <c r="A251" s="2">
        <v>1397</v>
      </c>
      <c r="B251" s="3">
        <v>45567</v>
      </c>
      <c r="C251" s="2" t="s">
        <v>9</v>
      </c>
      <c r="D251" s="2" t="s">
        <v>13</v>
      </c>
      <c r="E251" s="2" t="s">
        <v>11</v>
      </c>
      <c r="F251" s="2">
        <v>36</v>
      </c>
      <c r="G251" s="4">
        <v>25.76</v>
      </c>
      <c r="H251" s="5">
        <f t="shared" si="3"/>
        <v>927.36</v>
      </c>
    </row>
    <row r="252" spans="1:8" x14ac:dyDescent="0.3">
      <c r="A252" s="2">
        <v>1569</v>
      </c>
      <c r="B252" s="3">
        <v>45567</v>
      </c>
      <c r="C252" s="2" t="s">
        <v>15</v>
      </c>
      <c r="D252" s="2" t="s">
        <v>13</v>
      </c>
      <c r="E252" s="2" t="s">
        <v>16</v>
      </c>
      <c r="F252" s="2">
        <v>25</v>
      </c>
      <c r="G252" s="4">
        <v>119.5</v>
      </c>
      <c r="H252" s="5">
        <f t="shared" si="3"/>
        <v>2987.5</v>
      </c>
    </row>
    <row r="253" spans="1:8" x14ac:dyDescent="0.3">
      <c r="A253" s="2">
        <v>1066</v>
      </c>
      <c r="B253" s="3">
        <v>45568</v>
      </c>
      <c r="C253" s="2" t="s">
        <v>9</v>
      </c>
      <c r="D253" s="2" t="s">
        <v>13</v>
      </c>
      <c r="E253" s="2" t="s">
        <v>22</v>
      </c>
      <c r="F253" s="2">
        <v>35</v>
      </c>
      <c r="G253" s="4">
        <v>96.04</v>
      </c>
      <c r="H253" s="5">
        <f t="shared" si="3"/>
        <v>3361.4</v>
      </c>
    </row>
    <row r="254" spans="1:8" x14ac:dyDescent="0.3">
      <c r="A254" s="2">
        <v>1074</v>
      </c>
      <c r="B254" s="3">
        <v>45569</v>
      </c>
      <c r="C254" s="2" t="s">
        <v>17</v>
      </c>
      <c r="D254" s="2" t="s">
        <v>24</v>
      </c>
      <c r="E254" s="2" t="s">
        <v>19</v>
      </c>
      <c r="F254" s="2">
        <v>2</v>
      </c>
      <c r="G254" s="4">
        <v>91.82</v>
      </c>
      <c r="H254" s="5">
        <f t="shared" si="3"/>
        <v>183.64</v>
      </c>
    </row>
    <row r="255" spans="1:8" x14ac:dyDescent="0.3">
      <c r="A255" s="2">
        <v>1314</v>
      </c>
      <c r="B255" s="3">
        <v>45570</v>
      </c>
      <c r="C255" s="2" t="s">
        <v>17</v>
      </c>
      <c r="D255" s="2" t="s">
        <v>21</v>
      </c>
      <c r="E255" s="2" t="s">
        <v>19</v>
      </c>
      <c r="F255" s="2">
        <v>39</v>
      </c>
      <c r="G255" s="4">
        <v>27.88</v>
      </c>
      <c r="H255" s="5">
        <f t="shared" si="3"/>
        <v>1087.32</v>
      </c>
    </row>
    <row r="256" spans="1:8" x14ac:dyDescent="0.3">
      <c r="A256" s="2">
        <v>1542</v>
      </c>
      <c r="B256" s="3">
        <v>45572</v>
      </c>
      <c r="C256" s="2" t="s">
        <v>9</v>
      </c>
      <c r="D256" s="2" t="s">
        <v>21</v>
      </c>
      <c r="E256" s="2" t="s">
        <v>11</v>
      </c>
      <c r="F256" s="2">
        <v>7</v>
      </c>
      <c r="G256" s="4">
        <v>92.56</v>
      </c>
      <c r="H256" s="5">
        <f t="shared" si="3"/>
        <v>647.92000000000007</v>
      </c>
    </row>
    <row r="257" spans="1:8" x14ac:dyDescent="0.3">
      <c r="A257" s="2">
        <v>1109</v>
      </c>
      <c r="B257" s="3">
        <v>45573</v>
      </c>
      <c r="C257" s="2" t="s">
        <v>12</v>
      </c>
      <c r="D257" s="2" t="s">
        <v>21</v>
      </c>
      <c r="E257" s="2" t="s">
        <v>25</v>
      </c>
      <c r="F257" s="2">
        <v>19</v>
      </c>
      <c r="G257" s="4">
        <v>26.71</v>
      </c>
      <c r="H257" s="5">
        <f t="shared" si="3"/>
        <v>507.49</v>
      </c>
    </row>
    <row r="258" spans="1:8" x14ac:dyDescent="0.3">
      <c r="A258" s="2">
        <v>1527</v>
      </c>
      <c r="B258" s="3">
        <v>45574</v>
      </c>
      <c r="C258" s="2" t="s">
        <v>17</v>
      </c>
      <c r="D258" s="2" t="s">
        <v>10</v>
      </c>
      <c r="E258" s="2" t="s">
        <v>20</v>
      </c>
      <c r="F258" s="2">
        <v>18</v>
      </c>
      <c r="G258" s="4">
        <v>47.92</v>
      </c>
      <c r="H258" s="5">
        <f t="shared" ref="H258:H321" si="4">F258*G258</f>
        <v>862.56000000000006</v>
      </c>
    </row>
    <row r="259" spans="1:8" x14ac:dyDescent="0.3">
      <c r="A259" s="2">
        <v>1122</v>
      </c>
      <c r="B259" s="3">
        <v>45576</v>
      </c>
      <c r="C259" s="2" t="s">
        <v>17</v>
      </c>
      <c r="D259" s="2" t="s">
        <v>18</v>
      </c>
      <c r="E259" s="2" t="s">
        <v>20</v>
      </c>
      <c r="F259" s="2">
        <v>16</v>
      </c>
      <c r="G259" s="4">
        <v>21.94</v>
      </c>
      <c r="H259" s="5">
        <f t="shared" si="4"/>
        <v>351.04</v>
      </c>
    </row>
    <row r="260" spans="1:8" x14ac:dyDescent="0.3">
      <c r="A260" s="2">
        <v>1253</v>
      </c>
      <c r="B260" s="3">
        <v>45579</v>
      </c>
      <c r="C260" s="2" t="s">
        <v>9</v>
      </c>
      <c r="D260" s="2" t="s">
        <v>13</v>
      </c>
      <c r="E260" s="2" t="s">
        <v>22</v>
      </c>
      <c r="F260" s="2">
        <v>26</v>
      </c>
      <c r="G260" s="4">
        <v>30.94</v>
      </c>
      <c r="H260" s="5">
        <f t="shared" si="4"/>
        <v>804.44</v>
      </c>
    </row>
    <row r="261" spans="1:8" x14ac:dyDescent="0.3">
      <c r="A261" s="2">
        <v>1638</v>
      </c>
      <c r="B261" s="3">
        <v>45582</v>
      </c>
      <c r="C261" s="2" t="s">
        <v>15</v>
      </c>
      <c r="D261" s="2" t="s">
        <v>10</v>
      </c>
      <c r="E261" s="2" t="s">
        <v>23</v>
      </c>
      <c r="F261" s="2">
        <v>16</v>
      </c>
      <c r="G261" s="4">
        <v>59.4</v>
      </c>
      <c r="H261" s="5">
        <f t="shared" si="4"/>
        <v>950.4</v>
      </c>
    </row>
    <row r="262" spans="1:8" x14ac:dyDescent="0.3">
      <c r="A262" s="2">
        <v>1099</v>
      </c>
      <c r="B262" s="3">
        <v>45584</v>
      </c>
      <c r="C262" s="2" t="s">
        <v>15</v>
      </c>
      <c r="D262" s="2" t="s">
        <v>13</v>
      </c>
      <c r="E262" s="2" t="s">
        <v>16</v>
      </c>
      <c r="F262" s="2">
        <v>36</v>
      </c>
      <c r="G262" s="4">
        <v>159.25</v>
      </c>
      <c r="H262" s="5">
        <f t="shared" si="4"/>
        <v>5733</v>
      </c>
    </row>
    <row r="263" spans="1:8" x14ac:dyDescent="0.3">
      <c r="A263" s="2">
        <v>1011</v>
      </c>
      <c r="B263" s="3">
        <v>45586</v>
      </c>
      <c r="C263" s="2" t="s">
        <v>12</v>
      </c>
      <c r="D263" s="2" t="s">
        <v>24</v>
      </c>
      <c r="E263" s="2" t="s">
        <v>14</v>
      </c>
      <c r="F263" s="2">
        <v>22</v>
      </c>
      <c r="G263" s="4">
        <v>132.79</v>
      </c>
      <c r="H263" s="5">
        <f t="shared" si="4"/>
        <v>2921.3799999999997</v>
      </c>
    </row>
    <row r="264" spans="1:8" x14ac:dyDescent="0.3">
      <c r="A264" s="2">
        <v>1196</v>
      </c>
      <c r="B264" s="3">
        <v>45586</v>
      </c>
      <c r="C264" s="2" t="s">
        <v>9</v>
      </c>
      <c r="D264" s="2" t="s">
        <v>18</v>
      </c>
      <c r="E264" s="2" t="s">
        <v>11</v>
      </c>
      <c r="F264" s="2">
        <v>40</v>
      </c>
      <c r="G264" s="4">
        <v>77.48</v>
      </c>
      <c r="H264" s="5">
        <f t="shared" si="4"/>
        <v>3099.2000000000003</v>
      </c>
    </row>
    <row r="265" spans="1:8" x14ac:dyDescent="0.3">
      <c r="A265" s="2">
        <v>1387</v>
      </c>
      <c r="B265" s="3">
        <v>45586</v>
      </c>
      <c r="C265" s="2" t="s">
        <v>15</v>
      </c>
      <c r="D265" s="2" t="s">
        <v>10</v>
      </c>
      <c r="E265" s="2" t="s">
        <v>23</v>
      </c>
      <c r="F265" s="2">
        <v>13</v>
      </c>
      <c r="G265" s="4">
        <v>42.52</v>
      </c>
      <c r="H265" s="5">
        <f t="shared" si="4"/>
        <v>552.76</v>
      </c>
    </row>
    <row r="266" spans="1:8" x14ac:dyDescent="0.3">
      <c r="A266" s="2">
        <v>1005</v>
      </c>
      <c r="B266" s="3">
        <v>45588</v>
      </c>
      <c r="C266" s="2" t="s">
        <v>15</v>
      </c>
      <c r="D266" s="2" t="s">
        <v>18</v>
      </c>
      <c r="E266" s="2" t="s">
        <v>23</v>
      </c>
      <c r="F266" s="2">
        <v>36</v>
      </c>
      <c r="G266" s="4">
        <v>57.82</v>
      </c>
      <c r="H266" s="5">
        <f t="shared" si="4"/>
        <v>2081.52</v>
      </c>
    </row>
    <row r="267" spans="1:8" x14ac:dyDescent="0.3">
      <c r="A267" s="2">
        <v>1413</v>
      </c>
      <c r="B267" s="3">
        <v>45588</v>
      </c>
      <c r="C267" s="2" t="s">
        <v>9</v>
      </c>
      <c r="D267" s="2" t="s">
        <v>10</v>
      </c>
      <c r="E267" s="2" t="s">
        <v>11</v>
      </c>
      <c r="F267" s="2">
        <v>4</v>
      </c>
      <c r="G267" s="4">
        <v>30.61</v>
      </c>
      <c r="H267" s="5">
        <f t="shared" si="4"/>
        <v>122.44</v>
      </c>
    </row>
    <row r="268" spans="1:8" x14ac:dyDescent="0.3">
      <c r="A268" s="2">
        <v>1612</v>
      </c>
      <c r="B268" s="3">
        <v>45590</v>
      </c>
      <c r="C268" s="2" t="s">
        <v>9</v>
      </c>
      <c r="D268" s="2" t="s">
        <v>18</v>
      </c>
      <c r="E268" s="2" t="s">
        <v>22</v>
      </c>
      <c r="F268" s="2">
        <v>29</v>
      </c>
      <c r="G268" s="4">
        <v>45.45</v>
      </c>
      <c r="H268" s="5">
        <f t="shared" si="4"/>
        <v>1318.0500000000002</v>
      </c>
    </row>
    <row r="269" spans="1:8" x14ac:dyDescent="0.3">
      <c r="A269" s="2">
        <v>1642</v>
      </c>
      <c r="B269" s="3">
        <v>45590</v>
      </c>
      <c r="C269" s="2" t="s">
        <v>12</v>
      </c>
      <c r="D269" s="2" t="s">
        <v>24</v>
      </c>
      <c r="E269" s="2" t="s">
        <v>25</v>
      </c>
      <c r="F269" s="2">
        <v>39</v>
      </c>
      <c r="G269" s="4">
        <v>154.85</v>
      </c>
      <c r="H269" s="5">
        <f t="shared" si="4"/>
        <v>6039.15</v>
      </c>
    </row>
    <row r="270" spans="1:8" x14ac:dyDescent="0.3">
      <c r="A270" s="2">
        <v>1166</v>
      </c>
      <c r="B270" s="3">
        <v>45592</v>
      </c>
      <c r="C270" s="2" t="s">
        <v>9</v>
      </c>
      <c r="D270" s="2" t="s">
        <v>24</v>
      </c>
      <c r="E270" s="2" t="s">
        <v>11</v>
      </c>
      <c r="F270" s="2">
        <v>38</v>
      </c>
      <c r="G270" s="4">
        <v>140.66</v>
      </c>
      <c r="H270" s="5">
        <f t="shared" si="4"/>
        <v>5345.08</v>
      </c>
    </row>
    <row r="271" spans="1:8" x14ac:dyDescent="0.3">
      <c r="A271" s="2">
        <v>1557</v>
      </c>
      <c r="B271" s="3">
        <v>45596</v>
      </c>
      <c r="C271" s="2" t="s">
        <v>12</v>
      </c>
      <c r="D271" s="2" t="s">
        <v>24</v>
      </c>
      <c r="E271" s="2" t="s">
        <v>25</v>
      </c>
      <c r="F271" s="2">
        <v>1</v>
      </c>
      <c r="G271" s="4">
        <v>391.79</v>
      </c>
      <c r="H271" s="5">
        <f t="shared" si="4"/>
        <v>391.79</v>
      </c>
    </row>
    <row r="272" spans="1:8" x14ac:dyDescent="0.3">
      <c r="A272" s="2">
        <v>1488</v>
      </c>
      <c r="B272" s="3">
        <v>45598</v>
      </c>
      <c r="C272" s="2" t="s">
        <v>17</v>
      </c>
      <c r="D272" s="2" t="s">
        <v>10</v>
      </c>
      <c r="E272" s="2" t="s">
        <v>20</v>
      </c>
      <c r="F272" s="2">
        <v>15</v>
      </c>
      <c r="G272" s="4">
        <v>52.41</v>
      </c>
      <c r="H272" s="5">
        <f t="shared" si="4"/>
        <v>786.15</v>
      </c>
    </row>
    <row r="273" spans="1:8" x14ac:dyDescent="0.3">
      <c r="A273" s="2">
        <v>1218</v>
      </c>
      <c r="B273" s="3">
        <v>45599</v>
      </c>
      <c r="C273" s="2" t="s">
        <v>12</v>
      </c>
      <c r="D273" s="2" t="s">
        <v>13</v>
      </c>
      <c r="E273" s="2" t="s">
        <v>25</v>
      </c>
      <c r="F273" s="2">
        <v>28</v>
      </c>
      <c r="G273" s="4">
        <v>90.65</v>
      </c>
      <c r="H273" s="5">
        <f t="shared" si="4"/>
        <v>2538.2000000000003</v>
      </c>
    </row>
    <row r="274" spans="1:8" x14ac:dyDescent="0.3">
      <c r="A274" s="2">
        <v>1182</v>
      </c>
      <c r="B274" s="3">
        <v>45600</v>
      </c>
      <c r="C274" s="2" t="s">
        <v>9</v>
      </c>
      <c r="D274" s="2" t="s">
        <v>24</v>
      </c>
      <c r="E274" s="2" t="s">
        <v>22</v>
      </c>
      <c r="F274" s="2">
        <v>39</v>
      </c>
      <c r="G274" s="4">
        <v>180.65</v>
      </c>
      <c r="H274" s="5">
        <f t="shared" si="4"/>
        <v>7045.35</v>
      </c>
    </row>
    <row r="275" spans="1:8" x14ac:dyDescent="0.3">
      <c r="A275" s="2">
        <v>1252</v>
      </c>
      <c r="B275" s="3">
        <v>45601</v>
      </c>
      <c r="C275" s="2" t="s">
        <v>17</v>
      </c>
      <c r="D275" s="2" t="s">
        <v>13</v>
      </c>
      <c r="E275" s="2" t="s">
        <v>19</v>
      </c>
      <c r="F275" s="2">
        <v>7</v>
      </c>
      <c r="G275" s="4">
        <v>59.33</v>
      </c>
      <c r="H275" s="5">
        <f t="shared" si="4"/>
        <v>415.31</v>
      </c>
    </row>
    <row r="276" spans="1:8" x14ac:dyDescent="0.3">
      <c r="A276" s="2">
        <v>1427</v>
      </c>
      <c r="B276" s="3">
        <v>45602</v>
      </c>
      <c r="C276" s="2" t="s">
        <v>15</v>
      </c>
      <c r="D276" s="2" t="s">
        <v>10</v>
      </c>
      <c r="E276" s="2" t="s">
        <v>16</v>
      </c>
      <c r="F276" s="2">
        <v>32</v>
      </c>
      <c r="G276" s="4">
        <v>58</v>
      </c>
      <c r="H276" s="5">
        <f t="shared" si="4"/>
        <v>1856</v>
      </c>
    </row>
    <row r="277" spans="1:8" x14ac:dyDescent="0.3">
      <c r="A277" s="2">
        <v>1321</v>
      </c>
      <c r="B277" s="3">
        <v>45608</v>
      </c>
      <c r="C277" s="2" t="s">
        <v>12</v>
      </c>
      <c r="D277" s="2" t="s">
        <v>13</v>
      </c>
      <c r="E277" s="2" t="s">
        <v>14</v>
      </c>
      <c r="F277" s="2">
        <v>17</v>
      </c>
      <c r="G277" s="4">
        <v>148.96</v>
      </c>
      <c r="H277" s="5">
        <f t="shared" si="4"/>
        <v>2532.3200000000002</v>
      </c>
    </row>
    <row r="278" spans="1:8" x14ac:dyDescent="0.3">
      <c r="A278" s="2">
        <v>1389</v>
      </c>
      <c r="B278" s="3">
        <v>45609</v>
      </c>
      <c r="C278" s="2" t="s">
        <v>12</v>
      </c>
      <c r="D278" s="2" t="s">
        <v>18</v>
      </c>
      <c r="E278" s="2" t="s">
        <v>14</v>
      </c>
      <c r="F278" s="2">
        <v>33</v>
      </c>
      <c r="G278" s="4">
        <v>31.62</v>
      </c>
      <c r="H278" s="5">
        <f t="shared" si="4"/>
        <v>1043.46</v>
      </c>
    </row>
    <row r="279" spans="1:8" x14ac:dyDescent="0.3">
      <c r="A279" s="2">
        <v>1451</v>
      </c>
      <c r="B279" s="3">
        <v>45610</v>
      </c>
      <c r="C279" s="2" t="s">
        <v>9</v>
      </c>
      <c r="D279" s="2" t="s">
        <v>10</v>
      </c>
      <c r="E279" s="2" t="s">
        <v>11</v>
      </c>
      <c r="F279" s="2">
        <v>34</v>
      </c>
      <c r="G279" s="4">
        <v>38.51</v>
      </c>
      <c r="H279" s="5">
        <f t="shared" si="4"/>
        <v>1309.3399999999999</v>
      </c>
    </row>
    <row r="280" spans="1:8" x14ac:dyDescent="0.3">
      <c r="A280" s="2">
        <v>1137</v>
      </c>
      <c r="B280" s="3">
        <v>45611</v>
      </c>
      <c r="C280" s="2" t="s">
        <v>9</v>
      </c>
      <c r="D280" s="2" t="s">
        <v>18</v>
      </c>
      <c r="E280" s="2" t="s">
        <v>22</v>
      </c>
      <c r="F280" s="2">
        <v>19</v>
      </c>
      <c r="G280" s="4">
        <v>31.61</v>
      </c>
      <c r="H280" s="5">
        <f t="shared" si="4"/>
        <v>600.59</v>
      </c>
    </row>
    <row r="281" spans="1:8" x14ac:dyDescent="0.3">
      <c r="A281" s="2">
        <v>1406</v>
      </c>
      <c r="B281" s="3">
        <v>45611</v>
      </c>
      <c r="C281" s="2" t="s">
        <v>15</v>
      </c>
      <c r="D281" s="2" t="s">
        <v>10</v>
      </c>
      <c r="E281" s="2" t="s">
        <v>16</v>
      </c>
      <c r="F281" s="2">
        <v>23</v>
      </c>
      <c r="G281" s="4">
        <v>29.48</v>
      </c>
      <c r="H281" s="5">
        <f t="shared" si="4"/>
        <v>678.04</v>
      </c>
    </row>
    <row r="282" spans="1:8" x14ac:dyDescent="0.3">
      <c r="A282" s="2">
        <v>1132</v>
      </c>
      <c r="B282" s="3">
        <v>45615</v>
      </c>
      <c r="C282" s="2" t="s">
        <v>9</v>
      </c>
      <c r="D282" s="2" t="s">
        <v>13</v>
      </c>
      <c r="E282" s="2" t="s">
        <v>11</v>
      </c>
      <c r="F282" s="2">
        <v>2</v>
      </c>
      <c r="G282" s="4">
        <v>120.73</v>
      </c>
      <c r="H282" s="5">
        <f t="shared" si="4"/>
        <v>241.46</v>
      </c>
    </row>
    <row r="283" spans="1:8" x14ac:dyDescent="0.3">
      <c r="A283" s="2">
        <v>1328</v>
      </c>
      <c r="B283" s="3">
        <v>45615</v>
      </c>
      <c r="C283" s="2" t="s">
        <v>12</v>
      </c>
      <c r="D283" s="2" t="s">
        <v>21</v>
      </c>
      <c r="E283" s="2" t="s">
        <v>14</v>
      </c>
      <c r="F283" s="2">
        <v>2</v>
      </c>
      <c r="G283" s="4">
        <v>87.53</v>
      </c>
      <c r="H283" s="5">
        <f t="shared" si="4"/>
        <v>175.06</v>
      </c>
    </row>
    <row r="284" spans="1:8" x14ac:dyDescent="0.3">
      <c r="A284" s="2">
        <v>1620</v>
      </c>
      <c r="B284" s="3">
        <v>45618</v>
      </c>
      <c r="C284" s="2" t="s">
        <v>9</v>
      </c>
      <c r="D284" s="2" t="s">
        <v>21</v>
      </c>
      <c r="E284" s="2" t="s">
        <v>22</v>
      </c>
      <c r="F284" s="2">
        <v>14</v>
      </c>
      <c r="G284" s="4">
        <v>62.17</v>
      </c>
      <c r="H284" s="5">
        <f t="shared" si="4"/>
        <v>870.38</v>
      </c>
    </row>
    <row r="285" spans="1:8" x14ac:dyDescent="0.3">
      <c r="A285" s="2">
        <v>1155</v>
      </c>
      <c r="B285" s="3">
        <v>45619</v>
      </c>
      <c r="C285" s="2" t="s">
        <v>15</v>
      </c>
      <c r="D285" s="2" t="s">
        <v>21</v>
      </c>
      <c r="E285" s="2" t="s">
        <v>23</v>
      </c>
      <c r="F285" s="2">
        <v>26</v>
      </c>
      <c r="G285" s="4">
        <v>86.55</v>
      </c>
      <c r="H285" s="5">
        <f t="shared" si="4"/>
        <v>2250.2999999999997</v>
      </c>
    </row>
    <row r="286" spans="1:8" x14ac:dyDescent="0.3">
      <c r="A286" s="2">
        <v>1235</v>
      </c>
      <c r="B286" s="3">
        <v>45620</v>
      </c>
      <c r="C286" s="2" t="s">
        <v>15</v>
      </c>
      <c r="D286" s="2" t="s">
        <v>21</v>
      </c>
      <c r="E286" s="2" t="s">
        <v>23</v>
      </c>
      <c r="F286" s="2">
        <v>2</v>
      </c>
      <c r="G286" s="4">
        <v>122.58</v>
      </c>
      <c r="H286" s="5">
        <f t="shared" si="4"/>
        <v>245.16</v>
      </c>
    </row>
    <row r="287" spans="1:8" x14ac:dyDescent="0.3">
      <c r="A287" s="2">
        <v>1376</v>
      </c>
      <c r="B287" s="3">
        <v>45620</v>
      </c>
      <c r="C287" s="2" t="s">
        <v>15</v>
      </c>
      <c r="D287" s="2" t="s">
        <v>10</v>
      </c>
      <c r="E287" s="2" t="s">
        <v>23</v>
      </c>
      <c r="F287" s="2">
        <v>10</v>
      </c>
      <c r="G287" s="4">
        <v>26.24</v>
      </c>
      <c r="H287" s="5">
        <f t="shared" si="4"/>
        <v>262.39999999999998</v>
      </c>
    </row>
    <row r="288" spans="1:8" x14ac:dyDescent="0.3">
      <c r="A288" s="2">
        <v>1580</v>
      </c>
      <c r="B288" s="3">
        <v>45621</v>
      </c>
      <c r="C288" s="2" t="s">
        <v>15</v>
      </c>
      <c r="D288" s="2" t="s">
        <v>21</v>
      </c>
      <c r="E288" s="2" t="s">
        <v>16</v>
      </c>
      <c r="F288" s="2">
        <v>10</v>
      </c>
      <c r="G288" s="4">
        <v>35.99</v>
      </c>
      <c r="H288" s="5">
        <f t="shared" si="4"/>
        <v>359.90000000000003</v>
      </c>
    </row>
    <row r="289" spans="1:8" x14ac:dyDescent="0.3">
      <c r="A289" s="2">
        <v>1000</v>
      </c>
      <c r="B289" s="3">
        <v>45623</v>
      </c>
      <c r="C289" s="2" t="s">
        <v>9</v>
      </c>
      <c r="D289" s="2" t="s">
        <v>13</v>
      </c>
      <c r="E289" s="2" t="s">
        <v>11</v>
      </c>
      <c r="F289" s="2">
        <v>35</v>
      </c>
      <c r="G289" s="4">
        <v>37.68</v>
      </c>
      <c r="H289" s="5">
        <f t="shared" si="4"/>
        <v>1318.8</v>
      </c>
    </row>
    <row r="290" spans="1:8" x14ac:dyDescent="0.3">
      <c r="A290" s="2">
        <v>1404</v>
      </c>
      <c r="B290" s="3">
        <v>45623</v>
      </c>
      <c r="C290" s="2" t="s">
        <v>9</v>
      </c>
      <c r="D290" s="2" t="s">
        <v>21</v>
      </c>
      <c r="E290" s="2" t="s">
        <v>11</v>
      </c>
      <c r="F290" s="2">
        <v>1</v>
      </c>
      <c r="G290" s="4">
        <v>146.38</v>
      </c>
      <c r="H290" s="5">
        <f t="shared" si="4"/>
        <v>146.38</v>
      </c>
    </row>
    <row r="291" spans="1:8" x14ac:dyDescent="0.3">
      <c r="A291" s="2">
        <v>1485</v>
      </c>
      <c r="B291" s="3">
        <v>45623</v>
      </c>
      <c r="C291" s="2" t="s">
        <v>15</v>
      </c>
      <c r="D291" s="2" t="s">
        <v>13</v>
      </c>
      <c r="E291" s="2" t="s">
        <v>23</v>
      </c>
      <c r="F291" s="2">
        <v>39</v>
      </c>
      <c r="G291" s="4">
        <v>195.51</v>
      </c>
      <c r="H291" s="5">
        <f t="shared" si="4"/>
        <v>7624.8899999999994</v>
      </c>
    </row>
    <row r="292" spans="1:8" x14ac:dyDescent="0.3">
      <c r="A292" s="2">
        <v>1047</v>
      </c>
      <c r="B292" s="3">
        <v>45625</v>
      </c>
      <c r="C292" s="2" t="s">
        <v>17</v>
      </c>
      <c r="D292" s="2" t="s">
        <v>10</v>
      </c>
      <c r="E292" s="2" t="s">
        <v>19</v>
      </c>
      <c r="F292" s="2">
        <v>4</v>
      </c>
      <c r="G292" s="4">
        <v>51.71</v>
      </c>
      <c r="H292" s="5">
        <f t="shared" si="4"/>
        <v>206.84</v>
      </c>
    </row>
    <row r="293" spans="1:8" x14ac:dyDescent="0.3">
      <c r="A293" s="2">
        <v>1513</v>
      </c>
      <c r="B293" s="3">
        <v>45631</v>
      </c>
      <c r="C293" s="2" t="s">
        <v>15</v>
      </c>
      <c r="D293" s="2" t="s">
        <v>13</v>
      </c>
      <c r="E293" s="2" t="s">
        <v>16</v>
      </c>
      <c r="F293" s="2">
        <v>22</v>
      </c>
      <c r="G293" s="4">
        <v>80.010000000000005</v>
      </c>
      <c r="H293" s="5">
        <f t="shared" si="4"/>
        <v>1760.22</v>
      </c>
    </row>
    <row r="294" spans="1:8" x14ac:dyDescent="0.3">
      <c r="A294" s="2">
        <v>1634</v>
      </c>
      <c r="B294" s="3">
        <v>45631</v>
      </c>
      <c r="C294" s="2" t="s">
        <v>12</v>
      </c>
      <c r="D294" s="2" t="s">
        <v>13</v>
      </c>
      <c r="E294" s="2" t="s">
        <v>14</v>
      </c>
      <c r="F294" s="2">
        <v>7</v>
      </c>
      <c r="G294" s="4">
        <v>51.08</v>
      </c>
      <c r="H294" s="5">
        <f t="shared" si="4"/>
        <v>357.56</v>
      </c>
    </row>
    <row r="295" spans="1:8" x14ac:dyDescent="0.3">
      <c r="A295" s="2">
        <v>1315</v>
      </c>
      <c r="B295" s="3">
        <v>45632</v>
      </c>
      <c r="C295" s="2" t="s">
        <v>12</v>
      </c>
      <c r="D295" s="2" t="s">
        <v>18</v>
      </c>
      <c r="E295" s="2" t="s">
        <v>14</v>
      </c>
      <c r="F295" s="2">
        <v>16</v>
      </c>
      <c r="G295" s="4">
        <v>58.85</v>
      </c>
      <c r="H295" s="5">
        <f t="shared" si="4"/>
        <v>941.6</v>
      </c>
    </row>
    <row r="296" spans="1:8" x14ac:dyDescent="0.3">
      <c r="A296" s="2">
        <v>1349</v>
      </c>
      <c r="B296" s="3">
        <v>45634</v>
      </c>
      <c r="C296" s="2" t="s">
        <v>9</v>
      </c>
      <c r="D296" s="2" t="s">
        <v>21</v>
      </c>
      <c r="E296" s="2" t="s">
        <v>22</v>
      </c>
      <c r="F296" s="2">
        <v>30</v>
      </c>
      <c r="G296" s="4">
        <v>34.200000000000003</v>
      </c>
      <c r="H296" s="5">
        <f t="shared" si="4"/>
        <v>1026</v>
      </c>
    </row>
    <row r="297" spans="1:8" x14ac:dyDescent="0.3">
      <c r="A297" s="2">
        <v>1432</v>
      </c>
      <c r="B297" s="3">
        <v>45635</v>
      </c>
      <c r="C297" s="2" t="s">
        <v>15</v>
      </c>
      <c r="D297" s="2" t="s">
        <v>24</v>
      </c>
      <c r="E297" s="2" t="s">
        <v>23</v>
      </c>
      <c r="F297" s="2">
        <v>23</v>
      </c>
      <c r="G297" s="4">
        <v>215.13</v>
      </c>
      <c r="H297" s="5">
        <f t="shared" si="4"/>
        <v>4947.99</v>
      </c>
    </row>
    <row r="298" spans="1:8" x14ac:dyDescent="0.3">
      <c r="A298" s="2">
        <v>1560</v>
      </c>
      <c r="B298" s="3">
        <v>45635</v>
      </c>
      <c r="C298" s="2" t="s">
        <v>12</v>
      </c>
      <c r="D298" s="2" t="s">
        <v>10</v>
      </c>
      <c r="E298" s="2" t="s">
        <v>25</v>
      </c>
      <c r="F298" s="2">
        <v>1</v>
      </c>
      <c r="G298" s="4">
        <v>20.07</v>
      </c>
      <c r="H298" s="5">
        <f t="shared" si="4"/>
        <v>20.07</v>
      </c>
    </row>
    <row r="299" spans="1:8" x14ac:dyDescent="0.3">
      <c r="A299" s="2">
        <v>1345</v>
      </c>
      <c r="B299" s="3">
        <v>45639</v>
      </c>
      <c r="C299" s="2" t="s">
        <v>17</v>
      </c>
      <c r="D299" s="2" t="s">
        <v>18</v>
      </c>
      <c r="E299" s="2" t="s">
        <v>19</v>
      </c>
      <c r="F299" s="2">
        <v>24</v>
      </c>
      <c r="G299" s="4">
        <v>23.67</v>
      </c>
      <c r="H299" s="5">
        <f t="shared" si="4"/>
        <v>568.08000000000004</v>
      </c>
    </row>
    <row r="300" spans="1:8" x14ac:dyDescent="0.3">
      <c r="A300" s="2">
        <v>1169</v>
      </c>
      <c r="B300" s="3">
        <v>45640</v>
      </c>
      <c r="C300" s="2" t="s">
        <v>9</v>
      </c>
      <c r="D300" s="2" t="s">
        <v>24</v>
      </c>
      <c r="E300" s="2" t="s">
        <v>11</v>
      </c>
      <c r="F300" s="2">
        <v>3</v>
      </c>
      <c r="G300" s="4">
        <v>399.96</v>
      </c>
      <c r="H300" s="5">
        <f t="shared" si="4"/>
        <v>1199.8799999999999</v>
      </c>
    </row>
    <row r="301" spans="1:8" x14ac:dyDescent="0.3">
      <c r="A301" s="2">
        <v>1289</v>
      </c>
      <c r="B301" s="3">
        <v>45641</v>
      </c>
      <c r="C301" s="2" t="s">
        <v>15</v>
      </c>
      <c r="D301" s="2" t="s">
        <v>10</v>
      </c>
      <c r="E301" s="2" t="s">
        <v>23</v>
      </c>
      <c r="F301" s="2">
        <v>22</v>
      </c>
      <c r="G301" s="4">
        <v>24.21</v>
      </c>
      <c r="H301" s="5">
        <f t="shared" si="4"/>
        <v>532.62</v>
      </c>
    </row>
    <row r="302" spans="1:8" x14ac:dyDescent="0.3">
      <c r="A302" s="2">
        <v>1519</v>
      </c>
      <c r="B302" s="3">
        <v>45641</v>
      </c>
      <c r="C302" s="2" t="s">
        <v>17</v>
      </c>
      <c r="D302" s="2" t="s">
        <v>10</v>
      </c>
      <c r="E302" s="2" t="s">
        <v>20</v>
      </c>
      <c r="F302" s="2">
        <v>36</v>
      </c>
      <c r="G302" s="4">
        <v>27.52</v>
      </c>
      <c r="H302" s="5">
        <f t="shared" si="4"/>
        <v>990.72</v>
      </c>
    </row>
    <row r="303" spans="1:8" x14ac:dyDescent="0.3">
      <c r="A303" s="2">
        <v>1531</v>
      </c>
      <c r="B303" s="3">
        <v>45641</v>
      </c>
      <c r="C303" s="2" t="s">
        <v>9</v>
      </c>
      <c r="D303" s="2" t="s">
        <v>24</v>
      </c>
      <c r="E303" s="2" t="s">
        <v>11</v>
      </c>
      <c r="F303" s="2">
        <v>1</v>
      </c>
      <c r="G303" s="4">
        <v>166.6</v>
      </c>
      <c r="H303" s="5">
        <f t="shared" si="4"/>
        <v>166.6</v>
      </c>
    </row>
    <row r="304" spans="1:8" x14ac:dyDescent="0.3">
      <c r="A304" s="2">
        <v>1031</v>
      </c>
      <c r="B304" s="3">
        <v>45642</v>
      </c>
      <c r="C304" s="2" t="s">
        <v>17</v>
      </c>
      <c r="D304" s="2" t="s">
        <v>13</v>
      </c>
      <c r="E304" s="2" t="s">
        <v>20</v>
      </c>
      <c r="F304" s="2">
        <v>14</v>
      </c>
      <c r="G304" s="4">
        <v>115.36</v>
      </c>
      <c r="H304" s="5">
        <f t="shared" si="4"/>
        <v>1615.04</v>
      </c>
    </row>
    <row r="305" spans="1:8" x14ac:dyDescent="0.3">
      <c r="A305" s="2">
        <v>1119</v>
      </c>
      <c r="B305" s="3">
        <v>45642</v>
      </c>
      <c r="C305" s="2" t="s">
        <v>12</v>
      </c>
      <c r="D305" s="2" t="s">
        <v>21</v>
      </c>
      <c r="E305" s="2" t="s">
        <v>25</v>
      </c>
      <c r="F305" s="2">
        <v>37</v>
      </c>
      <c r="G305" s="4">
        <v>67.88</v>
      </c>
      <c r="H305" s="5">
        <f t="shared" si="4"/>
        <v>2511.56</v>
      </c>
    </row>
    <row r="306" spans="1:8" x14ac:dyDescent="0.3">
      <c r="A306" s="2">
        <v>1037</v>
      </c>
      <c r="B306" s="3">
        <v>45644</v>
      </c>
      <c r="C306" s="2" t="s">
        <v>15</v>
      </c>
      <c r="D306" s="2" t="s">
        <v>21</v>
      </c>
      <c r="E306" s="2" t="s">
        <v>16</v>
      </c>
      <c r="F306" s="2">
        <v>7</v>
      </c>
      <c r="G306" s="4">
        <v>30.47</v>
      </c>
      <c r="H306" s="5">
        <f t="shared" si="4"/>
        <v>213.29</v>
      </c>
    </row>
    <row r="307" spans="1:8" x14ac:dyDescent="0.3">
      <c r="A307" s="2">
        <v>1029</v>
      </c>
      <c r="B307" s="3">
        <v>45647</v>
      </c>
      <c r="C307" s="2" t="s">
        <v>17</v>
      </c>
      <c r="D307" s="2" t="s">
        <v>13</v>
      </c>
      <c r="E307" s="2" t="s">
        <v>20</v>
      </c>
      <c r="F307" s="2">
        <v>32</v>
      </c>
      <c r="G307" s="4">
        <v>45.19</v>
      </c>
      <c r="H307" s="5">
        <f t="shared" si="4"/>
        <v>1446.08</v>
      </c>
    </row>
    <row r="308" spans="1:8" x14ac:dyDescent="0.3">
      <c r="A308" s="2">
        <v>1456</v>
      </c>
      <c r="B308" s="3">
        <v>45649</v>
      </c>
      <c r="C308" s="2" t="s">
        <v>15</v>
      </c>
      <c r="D308" s="2" t="s">
        <v>13</v>
      </c>
      <c r="E308" s="2" t="s">
        <v>16</v>
      </c>
      <c r="F308" s="2">
        <v>29</v>
      </c>
      <c r="G308" s="4">
        <v>146.03</v>
      </c>
      <c r="H308" s="5">
        <f t="shared" si="4"/>
        <v>4234.87</v>
      </c>
    </row>
    <row r="309" spans="1:8" x14ac:dyDescent="0.3">
      <c r="A309" s="2">
        <v>1145</v>
      </c>
      <c r="B309" s="3">
        <v>45651</v>
      </c>
      <c r="C309" s="2" t="s">
        <v>15</v>
      </c>
      <c r="D309" s="2" t="s">
        <v>24</v>
      </c>
      <c r="E309" s="2" t="s">
        <v>23</v>
      </c>
      <c r="F309" s="2">
        <v>20</v>
      </c>
      <c r="G309" s="4">
        <v>201.64</v>
      </c>
      <c r="H309" s="5">
        <f t="shared" si="4"/>
        <v>4032.7999999999997</v>
      </c>
    </row>
    <row r="310" spans="1:8" x14ac:dyDescent="0.3">
      <c r="A310" s="2">
        <v>1370</v>
      </c>
      <c r="B310" s="3">
        <v>45651</v>
      </c>
      <c r="C310" s="2" t="s">
        <v>12</v>
      </c>
      <c r="D310" s="2" t="s">
        <v>18</v>
      </c>
      <c r="E310" s="2" t="s">
        <v>25</v>
      </c>
      <c r="F310" s="2">
        <v>30</v>
      </c>
      <c r="G310" s="4">
        <v>35.479999999999997</v>
      </c>
      <c r="H310" s="5">
        <f t="shared" si="4"/>
        <v>1064.3999999999999</v>
      </c>
    </row>
    <row r="311" spans="1:8" x14ac:dyDescent="0.3">
      <c r="A311" s="2">
        <v>1448</v>
      </c>
      <c r="B311" s="3">
        <v>45652</v>
      </c>
      <c r="C311" s="2" t="s">
        <v>12</v>
      </c>
      <c r="D311" s="2" t="s">
        <v>18</v>
      </c>
      <c r="E311" s="2" t="s">
        <v>14</v>
      </c>
      <c r="F311" s="2">
        <v>39</v>
      </c>
      <c r="G311" s="4">
        <v>23.64</v>
      </c>
      <c r="H311" s="5">
        <f t="shared" si="4"/>
        <v>921.96</v>
      </c>
    </row>
    <row r="312" spans="1:8" x14ac:dyDescent="0.3">
      <c r="A312" s="2">
        <v>1592</v>
      </c>
      <c r="B312" s="3">
        <v>45652</v>
      </c>
      <c r="C312" s="2" t="s">
        <v>9</v>
      </c>
      <c r="D312" s="2" t="s">
        <v>13</v>
      </c>
      <c r="E312" s="2" t="s">
        <v>11</v>
      </c>
      <c r="F312" s="2">
        <v>13</v>
      </c>
      <c r="G312" s="4">
        <v>186.84</v>
      </c>
      <c r="H312" s="5">
        <f t="shared" si="4"/>
        <v>2428.92</v>
      </c>
    </row>
    <row r="313" spans="1:8" x14ac:dyDescent="0.3">
      <c r="A313" s="2">
        <v>1270</v>
      </c>
      <c r="B313" s="3">
        <v>45653</v>
      </c>
      <c r="C313" s="2" t="s">
        <v>15</v>
      </c>
      <c r="D313" s="2" t="s">
        <v>13</v>
      </c>
      <c r="E313" s="2" t="s">
        <v>16</v>
      </c>
      <c r="F313" s="2">
        <v>9</v>
      </c>
      <c r="G313" s="4">
        <v>157.97999999999999</v>
      </c>
      <c r="H313" s="5">
        <f t="shared" si="4"/>
        <v>1421.82</v>
      </c>
    </row>
    <row r="314" spans="1:8" x14ac:dyDescent="0.3">
      <c r="A314" s="2">
        <v>1048</v>
      </c>
      <c r="B314" s="3">
        <v>45654</v>
      </c>
      <c r="C314" s="2" t="s">
        <v>15</v>
      </c>
      <c r="D314" s="2" t="s">
        <v>10</v>
      </c>
      <c r="E314" s="2" t="s">
        <v>16</v>
      </c>
      <c r="F314" s="2">
        <v>33</v>
      </c>
      <c r="G314" s="4">
        <v>51.36</v>
      </c>
      <c r="H314" s="5">
        <f t="shared" si="4"/>
        <v>1694.8799999999999</v>
      </c>
    </row>
    <row r="315" spans="1:8" x14ac:dyDescent="0.3">
      <c r="A315" s="2">
        <v>1394</v>
      </c>
      <c r="B315" s="3">
        <v>45654</v>
      </c>
      <c r="C315" s="2" t="s">
        <v>12</v>
      </c>
      <c r="D315" s="2" t="s">
        <v>10</v>
      </c>
      <c r="E315" s="2" t="s">
        <v>25</v>
      </c>
      <c r="F315" s="2">
        <v>10</v>
      </c>
      <c r="G315" s="4">
        <v>59.47</v>
      </c>
      <c r="H315" s="5">
        <f t="shared" si="4"/>
        <v>594.70000000000005</v>
      </c>
    </row>
    <row r="316" spans="1:8" x14ac:dyDescent="0.3">
      <c r="A316" s="2">
        <v>1422</v>
      </c>
      <c r="B316" s="3">
        <v>45654</v>
      </c>
      <c r="C316" s="2" t="s">
        <v>17</v>
      </c>
      <c r="D316" s="2" t="s">
        <v>18</v>
      </c>
      <c r="E316" s="2" t="s">
        <v>20</v>
      </c>
      <c r="F316" s="2">
        <v>7</v>
      </c>
      <c r="G316" s="4">
        <v>35</v>
      </c>
      <c r="H316" s="5">
        <f t="shared" si="4"/>
        <v>245</v>
      </c>
    </row>
    <row r="317" spans="1:8" x14ac:dyDescent="0.3">
      <c r="A317" s="2">
        <v>1291</v>
      </c>
      <c r="B317" s="3">
        <v>45655</v>
      </c>
      <c r="C317" s="2" t="s">
        <v>15</v>
      </c>
      <c r="D317" s="2" t="s">
        <v>13</v>
      </c>
      <c r="E317" s="2" t="s">
        <v>16</v>
      </c>
      <c r="F317" s="2">
        <v>18</v>
      </c>
      <c r="G317" s="4">
        <v>113.16</v>
      </c>
      <c r="H317" s="5">
        <f t="shared" si="4"/>
        <v>2036.8799999999999</v>
      </c>
    </row>
    <row r="318" spans="1:8" x14ac:dyDescent="0.3">
      <c r="A318" s="2">
        <v>1323</v>
      </c>
      <c r="B318" s="3">
        <v>45655</v>
      </c>
      <c r="C318" s="2" t="s">
        <v>12</v>
      </c>
      <c r="D318" s="2" t="s">
        <v>18</v>
      </c>
      <c r="E318" s="2" t="s">
        <v>14</v>
      </c>
      <c r="F318" s="2">
        <v>17</v>
      </c>
      <c r="G318" s="4">
        <v>58.47</v>
      </c>
      <c r="H318" s="5">
        <f t="shared" si="4"/>
        <v>993.99</v>
      </c>
    </row>
    <row r="319" spans="1:8" x14ac:dyDescent="0.3">
      <c r="A319" s="2">
        <v>1265</v>
      </c>
      <c r="B319" s="3">
        <v>45656</v>
      </c>
      <c r="C319" s="2" t="s">
        <v>12</v>
      </c>
      <c r="D319" s="2" t="s">
        <v>21</v>
      </c>
      <c r="E319" s="2" t="s">
        <v>14</v>
      </c>
      <c r="F319" s="2">
        <v>4</v>
      </c>
      <c r="G319" s="4">
        <v>69.64</v>
      </c>
      <c r="H319" s="5">
        <f t="shared" si="4"/>
        <v>278.56</v>
      </c>
    </row>
    <row r="320" spans="1:8" x14ac:dyDescent="0.3">
      <c r="A320" s="2">
        <v>1209</v>
      </c>
      <c r="B320" s="3">
        <v>45657</v>
      </c>
      <c r="C320" s="2" t="s">
        <v>9</v>
      </c>
      <c r="D320" s="2" t="s">
        <v>13</v>
      </c>
      <c r="E320" s="2" t="s">
        <v>22</v>
      </c>
      <c r="F320" s="2">
        <v>14</v>
      </c>
      <c r="G320" s="4">
        <v>128.09</v>
      </c>
      <c r="H320" s="5">
        <f t="shared" si="4"/>
        <v>1793.26</v>
      </c>
    </row>
    <row r="321" spans="1:8" x14ac:dyDescent="0.3">
      <c r="A321" s="2">
        <v>1273</v>
      </c>
      <c r="B321" s="3">
        <v>45658</v>
      </c>
      <c r="C321" s="2" t="s">
        <v>9</v>
      </c>
      <c r="D321" s="2" t="s">
        <v>21</v>
      </c>
      <c r="E321" s="2" t="s">
        <v>22</v>
      </c>
      <c r="F321" s="2">
        <v>28</v>
      </c>
      <c r="G321" s="4">
        <v>82.34</v>
      </c>
      <c r="H321" s="5">
        <f t="shared" si="4"/>
        <v>2305.52</v>
      </c>
    </row>
    <row r="322" spans="1:8" x14ac:dyDescent="0.3">
      <c r="A322" s="2">
        <v>1430</v>
      </c>
      <c r="B322" s="3">
        <v>45658</v>
      </c>
      <c r="C322" s="2" t="s">
        <v>15</v>
      </c>
      <c r="D322" s="2" t="s">
        <v>18</v>
      </c>
      <c r="E322" s="2" t="s">
        <v>23</v>
      </c>
      <c r="F322" s="2">
        <v>19</v>
      </c>
      <c r="G322" s="4">
        <v>87.87</v>
      </c>
      <c r="H322" s="5">
        <f t="shared" ref="H322:H385" si="5">F322*G322</f>
        <v>1669.5300000000002</v>
      </c>
    </row>
    <row r="323" spans="1:8" x14ac:dyDescent="0.3">
      <c r="A323" s="2">
        <v>1192</v>
      </c>
      <c r="B323" s="3">
        <v>45659</v>
      </c>
      <c r="C323" s="2" t="s">
        <v>15</v>
      </c>
      <c r="D323" s="2" t="s">
        <v>21</v>
      </c>
      <c r="E323" s="2" t="s">
        <v>23</v>
      </c>
      <c r="F323" s="2">
        <v>33</v>
      </c>
      <c r="G323" s="4">
        <v>124.3</v>
      </c>
      <c r="H323" s="5">
        <f t="shared" si="5"/>
        <v>4101.8999999999996</v>
      </c>
    </row>
    <row r="324" spans="1:8" x14ac:dyDescent="0.3">
      <c r="A324" s="2">
        <v>1009</v>
      </c>
      <c r="B324" s="3">
        <v>45662</v>
      </c>
      <c r="C324" s="2" t="s">
        <v>17</v>
      </c>
      <c r="D324" s="2" t="s">
        <v>18</v>
      </c>
      <c r="E324" s="2" t="s">
        <v>20</v>
      </c>
      <c r="F324" s="2">
        <v>16</v>
      </c>
      <c r="G324" s="4">
        <v>67.42</v>
      </c>
      <c r="H324" s="5">
        <f t="shared" si="5"/>
        <v>1078.72</v>
      </c>
    </row>
    <row r="325" spans="1:8" x14ac:dyDescent="0.3">
      <c r="A325" s="2">
        <v>1313</v>
      </c>
      <c r="B325" s="3">
        <v>45663</v>
      </c>
      <c r="C325" s="2" t="s">
        <v>9</v>
      </c>
      <c r="D325" s="2" t="s">
        <v>13</v>
      </c>
      <c r="E325" s="2" t="s">
        <v>22</v>
      </c>
      <c r="F325" s="2">
        <v>29</v>
      </c>
      <c r="G325" s="4">
        <v>92.5</v>
      </c>
      <c r="H325" s="5">
        <f t="shared" si="5"/>
        <v>2682.5</v>
      </c>
    </row>
    <row r="326" spans="1:8" x14ac:dyDescent="0.3">
      <c r="A326" s="2">
        <v>1518</v>
      </c>
      <c r="B326" s="3">
        <v>45663</v>
      </c>
      <c r="C326" s="2" t="s">
        <v>17</v>
      </c>
      <c r="D326" s="2" t="s">
        <v>18</v>
      </c>
      <c r="E326" s="2" t="s">
        <v>20</v>
      </c>
      <c r="F326" s="2">
        <v>20</v>
      </c>
      <c r="G326" s="4">
        <v>66.099999999999994</v>
      </c>
      <c r="H326" s="5">
        <f t="shared" si="5"/>
        <v>1322</v>
      </c>
    </row>
    <row r="327" spans="1:8" x14ac:dyDescent="0.3">
      <c r="A327" s="2">
        <v>1082</v>
      </c>
      <c r="B327" s="3">
        <v>45664</v>
      </c>
      <c r="C327" s="2" t="s">
        <v>17</v>
      </c>
      <c r="D327" s="2" t="s">
        <v>10</v>
      </c>
      <c r="E327" s="2" t="s">
        <v>19</v>
      </c>
      <c r="F327" s="2">
        <v>20</v>
      </c>
      <c r="G327" s="4">
        <v>22.22</v>
      </c>
      <c r="H327" s="5">
        <f t="shared" si="5"/>
        <v>444.4</v>
      </c>
    </row>
    <row r="328" spans="1:8" x14ac:dyDescent="0.3">
      <c r="A328" s="2">
        <v>1176</v>
      </c>
      <c r="B328" s="3">
        <v>45664</v>
      </c>
      <c r="C328" s="2" t="s">
        <v>9</v>
      </c>
      <c r="D328" s="2" t="s">
        <v>13</v>
      </c>
      <c r="E328" s="2" t="s">
        <v>22</v>
      </c>
      <c r="F328" s="2">
        <v>1</v>
      </c>
      <c r="G328" s="4">
        <v>60.64</v>
      </c>
      <c r="H328" s="5">
        <f t="shared" si="5"/>
        <v>60.64</v>
      </c>
    </row>
    <row r="329" spans="1:8" x14ac:dyDescent="0.3">
      <c r="A329" s="2">
        <v>1352</v>
      </c>
      <c r="B329" s="3">
        <v>45665</v>
      </c>
      <c r="C329" s="2" t="s">
        <v>15</v>
      </c>
      <c r="D329" s="2" t="s">
        <v>21</v>
      </c>
      <c r="E329" s="2" t="s">
        <v>23</v>
      </c>
      <c r="F329" s="2">
        <v>7</v>
      </c>
      <c r="G329" s="4">
        <v>140.26</v>
      </c>
      <c r="H329" s="5">
        <f t="shared" si="5"/>
        <v>981.81999999999994</v>
      </c>
    </row>
    <row r="330" spans="1:8" x14ac:dyDescent="0.3">
      <c r="A330" s="2">
        <v>1378</v>
      </c>
      <c r="B330" s="3">
        <v>45665</v>
      </c>
      <c r="C330" s="2" t="s">
        <v>12</v>
      </c>
      <c r="D330" s="2" t="s">
        <v>10</v>
      </c>
      <c r="E330" s="2" t="s">
        <v>25</v>
      </c>
      <c r="F330" s="2">
        <v>28</v>
      </c>
      <c r="G330" s="4">
        <v>13.46</v>
      </c>
      <c r="H330" s="5">
        <f t="shared" si="5"/>
        <v>376.88</v>
      </c>
    </row>
    <row r="331" spans="1:8" x14ac:dyDescent="0.3">
      <c r="A331" s="2">
        <v>1609</v>
      </c>
      <c r="B331" s="3">
        <v>45666</v>
      </c>
      <c r="C331" s="2" t="s">
        <v>17</v>
      </c>
      <c r="D331" s="2" t="s">
        <v>18</v>
      </c>
      <c r="E331" s="2" t="s">
        <v>19</v>
      </c>
      <c r="F331" s="2">
        <v>36</v>
      </c>
      <c r="G331" s="4">
        <v>83.95</v>
      </c>
      <c r="H331" s="5">
        <f t="shared" si="5"/>
        <v>3022.2000000000003</v>
      </c>
    </row>
    <row r="332" spans="1:8" x14ac:dyDescent="0.3">
      <c r="A332" s="2">
        <v>1210</v>
      </c>
      <c r="B332" s="3">
        <v>45667</v>
      </c>
      <c r="C332" s="2" t="s">
        <v>15</v>
      </c>
      <c r="D332" s="2" t="s">
        <v>18</v>
      </c>
      <c r="E332" s="2" t="s">
        <v>23</v>
      </c>
      <c r="F332" s="2">
        <v>16</v>
      </c>
      <c r="G332" s="4">
        <v>16.059999999999999</v>
      </c>
      <c r="H332" s="5">
        <f t="shared" si="5"/>
        <v>256.95999999999998</v>
      </c>
    </row>
    <row r="333" spans="1:8" x14ac:dyDescent="0.3">
      <c r="A333" s="2">
        <v>1411</v>
      </c>
      <c r="B333" s="3">
        <v>45667</v>
      </c>
      <c r="C333" s="2" t="s">
        <v>12</v>
      </c>
      <c r="D333" s="2" t="s">
        <v>21</v>
      </c>
      <c r="E333" s="2" t="s">
        <v>25</v>
      </c>
      <c r="F333" s="2">
        <v>19</v>
      </c>
      <c r="G333" s="4">
        <v>34.369999999999997</v>
      </c>
      <c r="H333" s="5">
        <f t="shared" si="5"/>
        <v>653.03</v>
      </c>
    </row>
    <row r="334" spans="1:8" x14ac:dyDescent="0.3">
      <c r="A334" s="2">
        <v>1161</v>
      </c>
      <c r="B334" s="3">
        <v>45673</v>
      </c>
      <c r="C334" s="2" t="s">
        <v>17</v>
      </c>
      <c r="D334" s="2" t="s">
        <v>21</v>
      </c>
      <c r="E334" s="2" t="s">
        <v>20</v>
      </c>
      <c r="F334" s="2">
        <v>12</v>
      </c>
      <c r="G334" s="4">
        <v>77.12</v>
      </c>
      <c r="H334" s="5">
        <f t="shared" si="5"/>
        <v>925.44</v>
      </c>
    </row>
    <row r="335" spans="1:8" x14ac:dyDescent="0.3">
      <c r="A335" s="2">
        <v>1327</v>
      </c>
      <c r="B335" s="3">
        <v>45675</v>
      </c>
      <c r="C335" s="2" t="s">
        <v>12</v>
      </c>
      <c r="D335" s="2" t="s">
        <v>21</v>
      </c>
      <c r="E335" s="2" t="s">
        <v>14</v>
      </c>
      <c r="F335" s="2">
        <v>10</v>
      </c>
      <c r="G335" s="4">
        <v>122.36</v>
      </c>
      <c r="H335" s="5">
        <f t="shared" si="5"/>
        <v>1223.5999999999999</v>
      </c>
    </row>
    <row r="336" spans="1:8" x14ac:dyDescent="0.3">
      <c r="A336" s="2">
        <v>1316</v>
      </c>
      <c r="B336" s="3">
        <v>45677</v>
      </c>
      <c r="C336" s="2" t="s">
        <v>15</v>
      </c>
      <c r="D336" s="2" t="s">
        <v>13</v>
      </c>
      <c r="E336" s="2" t="s">
        <v>23</v>
      </c>
      <c r="F336" s="2">
        <v>19</v>
      </c>
      <c r="G336" s="4">
        <v>166.31</v>
      </c>
      <c r="H336" s="5">
        <f t="shared" si="5"/>
        <v>3159.89</v>
      </c>
    </row>
    <row r="337" spans="1:8" x14ac:dyDescent="0.3">
      <c r="A337" s="2">
        <v>1332</v>
      </c>
      <c r="B337" s="3">
        <v>45679</v>
      </c>
      <c r="C337" s="2" t="s">
        <v>12</v>
      </c>
      <c r="D337" s="2" t="s">
        <v>24</v>
      </c>
      <c r="E337" s="2" t="s">
        <v>25</v>
      </c>
      <c r="F337" s="2">
        <v>24</v>
      </c>
      <c r="G337" s="4">
        <v>91.14</v>
      </c>
      <c r="H337" s="5">
        <f t="shared" si="5"/>
        <v>2187.36</v>
      </c>
    </row>
    <row r="338" spans="1:8" x14ac:dyDescent="0.3">
      <c r="A338" s="2">
        <v>1475</v>
      </c>
      <c r="B338" s="3">
        <v>45680</v>
      </c>
      <c r="C338" s="2" t="s">
        <v>9</v>
      </c>
      <c r="D338" s="2" t="s">
        <v>21</v>
      </c>
      <c r="E338" s="2" t="s">
        <v>22</v>
      </c>
      <c r="F338" s="2">
        <v>9</v>
      </c>
      <c r="G338" s="4">
        <v>49.93</v>
      </c>
      <c r="H338" s="5">
        <f t="shared" si="5"/>
        <v>449.37</v>
      </c>
    </row>
    <row r="339" spans="1:8" x14ac:dyDescent="0.3">
      <c r="A339" s="2">
        <v>1402</v>
      </c>
      <c r="B339" s="3">
        <v>45681</v>
      </c>
      <c r="C339" s="2" t="s">
        <v>15</v>
      </c>
      <c r="D339" s="2" t="s">
        <v>21</v>
      </c>
      <c r="E339" s="2" t="s">
        <v>23</v>
      </c>
      <c r="F339" s="2">
        <v>10</v>
      </c>
      <c r="G339" s="4">
        <v>89.79</v>
      </c>
      <c r="H339" s="5">
        <f t="shared" si="5"/>
        <v>897.90000000000009</v>
      </c>
    </row>
    <row r="340" spans="1:8" x14ac:dyDescent="0.3">
      <c r="A340" s="2">
        <v>1186</v>
      </c>
      <c r="B340" s="3">
        <v>45684</v>
      </c>
      <c r="C340" s="2" t="s">
        <v>17</v>
      </c>
      <c r="D340" s="2" t="s">
        <v>24</v>
      </c>
      <c r="E340" s="2" t="s">
        <v>20</v>
      </c>
      <c r="F340" s="2">
        <v>13</v>
      </c>
      <c r="G340" s="4">
        <v>159.06</v>
      </c>
      <c r="H340" s="5">
        <f t="shared" si="5"/>
        <v>2067.7800000000002</v>
      </c>
    </row>
    <row r="341" spans="1:8" x14ac:dyDescent="0.3">
      <c r="A341" s="2">
        <v>1123</v>
      </c>
      <c r="B341" s="3">
        <v>45685</v>
      </c>
      <c r="C341" s="2" t="s">
        <v>15</v>
      </c>
      <c r="D341" s="2" t="s">
        <v>13</v>
      </c>
      <c r="E341" s="2" t="s">
        <v>16</v>
      </c>
      <c r="F341" s="2">
        <v>2</v>
      </c>
      <c r="G341" s="4">
        <v>191.94</v>
      </c>
      <c r="H341" s="5">
        <f t="shared" si="5"/>
        <v>383.88</v>
      </c>
    </row>
    <row r="342" spans="1:8" x14ac:dyDescent="0.3">
      <c r="A342" s="2">
        <v>1153</v>
      </c>
      <c r="B342" s="3">
        <v>45687</v>
      </c>
      <c r="C342" s="2" t="s">
        <v>17</v>
      </c>
      <c r="D342" s="2" t="s">
        <v>13</v>
      </c>
      <c r="E342" s="2" t="s">
        <v>19</v>
      </c>
      <c r="F342" s="2">
        <v>32</v>
      </c>
      <c r="G342" s="4">
        <v>48.22</v>
      </c>
      <c r="H342" s="5">
        <f t="shared" si="5"/>
        <v>1543.04</v>
      </c>
    </row>
    <row r="343" spans="1:8" x14ac:dyDescent="0.3">
      <c r="A343" s="2">
        <v>1189</v>
      </c>
      <c r="B343" s="3">
        <v>45690</v>
      </c>
      <c r="C343" s="2" t="s">
        <v>17</v>
      </c>
      <c r="D343" s="2" t="s">
        <v>13</v>
      </c>
      <c r="E343" s="2" t="s">
        <v>19</v>
      </c>
      <c r="F343" s="2">
        <v>1</v>
      </c>
      <c r="G343" s="4">
        <v>56.28</v>
      </c>
      <c r="H343" s="5">
        <f t="shared" si="5"/>
        <v>56.28</v>
      </c>
    </row>
    <row r="344" spans="1:8" x14ac:dyDescent="0.3">
      <c r="A344" s="2">
        <v>1353</v>
      </c>
      <c r="B344" s="3">
        <v>45691</v>
      </c>
      <c r="C344" s="2" t="s">
        <v>17</v>
      </c>
      <c r="D344" s="2" t="s">
        <v>13</v>
      </c>
      <c r="E344" s="2" t="s">
        <v>20</v>
      </c>
      <c r="F344" s="2">
        <v>19</v>
      </c>
      <c r="G344" s="4">
        <v>35.06</v>
      </c>
      <c r="H344" s="5">
        <f t="shared" si="5"/>
        <v>666.1400000000001</v>
      </c>
    </row>
    <row r="345" spans="1:8" x14ac:dyDescent="0.3">
      <c r="A345" s="2">
        <v>1108</v>
      </c>
      <c r="B345" s="3">
        <v>45694</v>
      </c>
      <c r="C345" s="2" t="s">
        <v>15</v>
      </c>
      <c r="D345" s="2" t="s">
        <v>10</v>
      </c>
      <c r="E345" s="2" t="s">
        <v>23</v>
      </c>
      <c r="F345" s="2">
        <v>28</v>
      </c>
      <c r="G345" s="4">
        <v>28.04</v>
      </c>
      <c r="H345" s="5">
        <f t="shared" si="5"/>
        <v>785.12</v>
      </c>
    </row>
    <row r="346" spans="1:8" x14ac:dyDescent="0.3">
      <c r="A346" s="2">
        <v>1086</v>
      </c>
      <c r="B346" s="3">
        <v>45695</v>
      </c>
      <c r="C346" s="2" t="s">
        <v>12</v>
      </c>
      <c r="D346" s="2" t="s">
        <v>21</v>
      </c>
      <c r="E346" s="2" t="s">
        <v>14</v>
      </c>
      <c r="F346" s="2">
        <v>6</v>
      </c>
      <c r="G346" s="4">
        <v>101.86</v>
      </c>
      <c r="H346" s="5">
        <f t="shared" si="5"/>
        <v>611.16</v>
      </c>
    </row>
    <row r="347" spans="1:8" x14ac:dyDescent="0.3">
      <c r="A347" s="2">
        <v>1104</v>
      </c>
      <c r="B347" s="3">
        <v>45695</v>
      </c>
      <c r="C347" s="2" t="s">
        <v>12</v>
      </c>
      <c r="D347" s="2" t="s">
        <v>18</v>
      </c>
      <c r="E347" s="2" t="s">
        <v>25</v>
      </c>
      <c r="F347" s="2">
        <v>29</v>
      </c>
      <c r="G347" s="4">
        <v>86.25</v>
      </c>
      <c r="H347" s="5">
        <f t="shared" si="5"/>
        <v>2501.25</v>
      </c>
    </row>
    <row r="348" spans="1:8" x14ac:dyDescent="0.3">
      <c r="A348" s="2">
        <v>1431</v>
      </c>
      <c r="B348" s="3">
        <v>45697</v>
      </c>
      <c r="C348" s="2" t="s">
        <v>17</v>
      </c>
      <c r="D348" s="2" t="s">
        <v>24</v>
      </c>
      <c r="E348" s="2" t="s">
        <v>19</v>
      </c>
      <c r="F348" s="2">
        <v>25</v>
      </c>
      <c r="G348" s="4">
        <v>250.8</v>
      </c>
      <c r="H348" s="5">
        <f t="shared" si="5"/>
        <v>6270</v>
      </c>
    </row>
    <row r="349" spans="1:8" x14ac:dyDescent="0.3">
      <c r="A349" s="2">
        <v>1373</v>
      </c>
      <c r="B349" s="3">
        <v>45698</v>
      </c>
      <c r="C349" s="2" t="s">
        <v>9</v>
      </c>
      <c r="D349" s="2" t="s">
        <v>24</v>
      </c>
      <c r="E349" s="2" t="s">
        <v>22</v>
      </c>
      <c r="F349" s="2">
        <v>39</v>
      </c>
      <c r="G349" s="4">
        <v>302.04000000000002</v>
      </c>
      <c r="H349" s="5">
        <f t="shared" si="5"/>
        <v>11779.560000000001</v>
      </c>
    </row>
    <row r="350" spans="1:8" x14ac:dyDescent="0.3">
      <c r="A350" s="2">
        <v>1060</v>
      </c>
      <c r="B350" s="3">
        <v>45699</v>
      </c>
      <c r="C350" s="2" t="s">
        <v>15</v>
      </c>
      <c r="D350" s="2" t="s">
        <v>18</v>
      </c>
      <c r="E350" s="2" t="s">
        <v>23</v>
      </c>
      <c r="F350" s="2">
        <v>28</v>
      </c>
      <c r="G350" s="4">
        <v>27.11</v>
      </c>
      <c r="H350" s="5">
        <f t="shared" si="5"/>
        <v>759.07999999999993</v>
      </c>
    </row>
    <row r="351" spans="1:8" x14ac:dyDescent="0.3">
      <c r="A351" s="2">
        <v>1295</v>
      </c>
      <c r="B351" s="3">
        <v>45700</v>
      </c>
      <c r="C351" s="2" t="s">
        <v>17</v>
      </c>
      <c r="D351" s="2" t="s">
        <v>24</v>
      </c>
      <c r="E351" s="2" t="s">
        <v>20</v>
      </c>
      <c r="F351" s="2">
        <v>31</v>
      </c>
      <c r="G351" s="4">
        <v>94.85</v>
      </c>
      <c r="H351" s="5">
        <f t="shared" si="5"/>
        <v>2940.35</v>
      </c>
    </row>
    <row r="352" spans="1:8" x14ac:dyDescent="0.3">
      <c r="A352" s="2">
        <v>1535</v>
      </c>
      <c r="B352" s="3">
        <v>45701</v>
      </c>
      <c r="C352" s="2" t="s">
        <v>17</v>
      </c>
      <c r="D352" s="2" t="s">
        <v>13</v>
      </c>
      <c r="E352" s="2" t="s">
        <v>20</v>
      </c>
      <c r="F352" s="2">
        <v>21</v>
      </c>
      <c r="G352" s="4">
        <v>29.5</v>
      </c>
      <c r="H352" s="5">
        <f t="shared" si="5"/>
        <v>619.5</v>
      </c>
    </row>
    <row r="353" spans="1:8" x14ac:dyDescent="0.3">
      <c r="A353" s="2">
        <v>1375</v>
      </c>
      <c r="B353" s="3">
        <v>45702</v>
      </c>
      <c r="C353" s="2" t="s">
        <v>9</v>
      </c>
      <c r="D353" s="2" t="s">
        <v>21</v>
      </c>
      <c r="E353" s="2" t="s">
        <v>22</v>
      </c>
      <c r="F353" s="2">
        <v>37</v>
      </c>
      <c r="G353" s="4">
        <v>129.59</v>
      </c>
      <c r="H353" s="5">
        <f t="shared" si="5"/>
        <v>4794.83</v>
      </c>
    </row>
    <row r="354" spans="1:8" x14ac:dyDescent="0.3">
      <c r="A354" s="2">
        <v>1019</v>
      </c>
      <c r="B354" s="3">
        <v>45703</v>
      </c>
      <c r="C354" s="2" t="s">
        <v>17</v>
      </c>
      <c r="D354" s="2" t="s">
        <v>18</v>
      </c>
      <c r="E354" s="2" t="s">
        <v>19</v>
      </c>
      <c r="F354" s="2">
        <v>18</v>
      </c>
      <c r="G354" s="4">
        <v>79.8</v>
      </c>
      <c r="H354" s="5">
        <f t="shared" si="5"/>
        <v>1436.3999999999999</v>
      </c>
    </row>
    <row r="355" spans="1:8" x14ac:dyDescent="0.3">
      <c r="A355" s="2">
        <v>1326</v>
      </c>
      <c r="B355" s="3">
        <v>45704</v>
      </c>
      <c r="C355" s="2" t="s">
        <v>9</v>
      </c>
      <c r="D355" s="2" t="s">
        <v>18</v>
      </c>
      <c r="E355" s="2" t="s">
        <v>11</v>
      </c>
      <c r="F355" s="2">
        <v>32</v>
      </c>
      <c r="G355" s="4">
        <v>84.2</v>
      </c>
      <c r="H355" s="5">
        <f t="shared" si="5"/>
        <v>2694.4</v>
      </c>
    </row>
    <row r="356" spans="1:8" x14ac:dyDescent="0.3">
      <c r="A356" s="2">
        <v>1200</v>
      </c>
      <c r="B356" s="3">
        <v>45705</v>
      </c>
      <c r="C356" s="2" t="s">
        <v>9</v>
      </c>
      <c r="D356" s="2" t="s">
        <v>21</v>
      </c>
      <c r="E356" s="2" t="s">
        <v>22</v>
      </c>
      <c r="F356" s="2">
        <v>11</v>
      </c>
      <c r="G356" s="4">
        <v>136.4</v>
      </c>
      <c r="H356" s="5">
        <f t="shared" si="5"/>
        <v>1500.4</v>
      </c>
    </row>
    <row r="357" spans="1:8" x14ac:dyDescent="0.3">
      <c r="A357" s="2">
        <v>1078</v>
      </c>
      <c r="B357" s="3">
        <v>45706</v>
      </c>
      <c r="C357" s="2" t="s">
        <v>17</v>
      </c>
      <c r="D357" s="2" t="s">
        <v>24</v>
      </c>
      <c r="E357" s="2" t="s">
        <v>20</v>
      </c>
      <c r="F357" s="2">
        <v>17</v>
      </c>
      <c r="G357" s="4">
        <v>84.56</v>
      </c>
      <c r="H357" s="5">
        <f t="shared" si="5"/>
        <v>1437.52</v>
      </c>
    </row>
    <row r="358" spans="1:8" x14ac:dyDescent="0.3">
      <c r="A358" s="2">
        <v>1105</v>
      </c>
      <c r="B358" s="3">
        <v>45707</v>
      </c>
      <c r="C358" s="2" t="s">
        <v>17</v>
      </c>
      <c r="D358" s="2" t="s">
        <v>18</v>
      </c>
      <c r="E358" s="2" t="s">
        <v>19</v>
      </c>
      <c r="F358" s="2">
        <v>21</v>
      </c>
      <c r="G358" s="4">
        <v>40.799999999999997</v>
      </c>
      <c r="H358" s="5">
        <f t="shared" si="5"/>
        <v>856.8</v>
      </c>
    </row>
    <row r="359" spans="1:8" x14ac:dyDescent="0.3">
      <c r="A359" s="2">
        <v>1465</v>
      </c>
      <c r="B359" s="3">
        <v>45707</v>
      </c>
      <c r="C359" s="2" t="s">
        <v>9</v>
      </c>
      <c r="D359" s="2" t="s">
        <v>24</v>
      </c>
      <c r="E359" s="2" t="s">
        <v>22</v>
      </c>
      <c r="F359" s="2">
        <v>32</v>
      </c>
      <c r="G359" s="4">
        <v>83.96</v>
      </c>
      <c r="H359" s="5">
        <f t="shared" si="5"/>
        <v>2686.72</v>
      </c>
    </row>
    <row r="360" spans="1:8" x14ac:dyDescent="0.3">
      <c r="A360" s="2">
        <v>1520</v>
      </c>
      <c r="B360" s="3">
        <v>45707</v>
      </c>
      <c r="C360" s="2" t="s">
        <v>17</v>
      </c>
      <c r="D360" s="2" t="s">
        <v>24</v>
      </c>
      <c r="E360" s="2" t="s">
        <v>19</v>
      </c>
      <c r="F360" s="2">
        <v>31</v>
      </c>
      <c r="G360" s="4">
        <v>294.95999999999998</v>
      </c>
      <c r="H360" s="5">
        <f t="shared" si="5"/>
        <v>9143.76</v>
      </c>
    </row>
    <row r="361" spans="1:8" x14ac:dyDescent="0.3">
      <c r="A361" s="2">
        <v>1573</v>
      </c>
      <c r="B361" s="3">
        <v>45707</v>
      </c>
      <c r="C361" s="2" t="s">
        <v>17</v>
      </c>
      <c r="D361" s="2" t="s">
        <v>13</v>
      </c>
      <c r="E361" s="2" t="s">
        <v>19</v>
      </c>
      <c r="F361" s="2">
        <v>37</v>
      </c>
      <c r="G361" s="4">
        <v>104.71</v>
      </c>
      <c r="H361" s="5">
        <f t="shared" si="5"/>
        <v>3874.27</v>
      </c>
    </row>
    <row r="362" spans="1:8" x14ac:dyDescent="0.3">
      <c r="A362" s="2">
        <v>1646</v>
      </c>
      <c r="B362" s="3">
        <v>45708</v>
      </c>
      <c r="C362" s="2" t="s">
        <v>12</v>
      </c>
      <c r="D362" s="2" t="s">
        <v>24</v>
      </c>
      <c r="E362" s="2" t="s">
        <v>25</v>
      </c>
      <c r="F362" s="2">
        <v>33</v>
      </c>
      <c r="G362" s="4">
        <v>127.38</v>
      </c>
      <c r="H362" s="5">
        <f t="shared" si="5"/>
        <v>4203.54</v>
      </c>
    </row>
    <row r="363" spans="1:8" x14ac:dyDescent="0.3">
      <c r="A363" s="2">
        <v>1133</v>
      </c>
      <c r="B363" s="3">
        <v>45713</v>
      </c>
      <c r="C363" s="2" t="s">
        <v>17</v>
      </c>
      <c r="D363" s="2" t="s">
        <v>24</v>
      </c>
      <c r="E363" s="2" t="s">
        <v>20</v>
      </c>
      <c r="F363" s="2">
        <v>27</v>
      </c>
      <c r="G363" s="4">
        <v>142.12</v>
      </c>
      <c r="H363" s="5">
        <f t="shared" si="5"/>
        <v>3837.2400000000002</v>
      </c>
    </row>
    <row r="364" spans="1:8" x14ac:dyDescent="0.3">
      <c r="A364" s="2">
        <v>1447</v>
      </c>
      <c r="B364" s="3">
        <v>45714</v>
      </c>
      <c r="C364" s="2" t="s">
        <v>12</v>
      </c>
      <c r="D364" s="2" t="s">
        <v>13</v>
      </c>
      <c r="E364" s="2" t="s">
        <v>25</v>
      </c>
      <c r="F364" s="2">
        <v>26</v>
      </c>
      <c r="G364" s="4">
        <v>199.99</v>
      </c>
      <c r="H364" s="5">
        <f t="shared" si="5"/>
        <v>5199.74</v>
      </c>
    </row>
    <row r="365" spans="1:8" x14ac:dyDescent="0.3">
      <c r="A365" s="2">
        <v>1596</v>
      </c>
      <c r="B365" s="3">
        <v>45716</v>
      </c>
      <c r="C365" s="2" t="s">
        <v>15</v>
      </c>
      <c r="D365" s="2" t="s">
        <v>18</v>
      </c>
      <c r="E365" s="2" t="s">
        <v>23</v>
      </c>
      <c r="F365" s="2">
        <v>32</v>
      </c>
      <c r="G365" s="4">
        <v>47.99</v>
      </c>
      <c r="H365" s="5">
        <f t="shared" si="5"/>
        <v>1535.68</v>
      </c>
    </row>
    <row r="366" spans="1:8" x14ac:dyDescent="0.3">
      <c r="A366" s="2">
        <v>1395</v>
      </c>
      <c r="B366" s="3">
        <v>45718</v>
      </c>
      <c r="C366" s="2" t="s">
        <v>17</v>
      </c>
      <c r="D366" s="2" t="s">
        <v>21</v>
      </c>
      <c r="E366" s="2" t="s">
        <v>20</v>
      </c>
      <c r="F366" s="2">
        <v>40</v>
      </c>
      <c r="G366" s="4">
        <v>107.79</v>
      </c>
      <c r="H366" s="5">
        <f t="shared" si="5"/>
        <v>4311.6000000000004</v>
      </c>
    </row>
    <row r="367" spans="1:8" x14ac:dyDescent="0.3">
      <c r="A367" s="2">
        <v>1139</v>
      </c>
      <c r="B367" s="3">
        <v>45719</v>
      </c>
      <c r="C367" s="2" t="s">
        <v>12</v>
      </c>
      <c r="D367" s="2" t="s">
        <v>10</v>
      </c>
      <c r="E367" s="2" t="s">
        <v>25</v>
      </c>
      <c r="F367" s="2">
        <v>4</v>
      </c>
      <c r="G367" s="4">
        <v>56.1</v>
      </c>
      <c r="H367" s="5">
        <f t="shared" si="5"/>
        <v>224.4</v>
      </c>
    </row>
    <row r="368" spans="1:8" x14ac:dyDescent="0.3">
      <c r="A368" s="2">
        <v>1455</v>
      </c>
      <c r="B368" s="3">
        <v>45719</v>
      </c>
      <c r="C368" s="2" t="s">
        <v>15</v>
      </c>
      <c r="D368" s="2" t="s">
        <v>10</v>
      </c>
      <c r="E368" s="2" t="s">
        <v>23</v>
      </c>
      <c r="F368" s="2">
        <v>6</v>
      </c>
      <c r="G368" s="4">
        <v>24.06</v>
      </c>
      <c r="H368" s="5">
        <f t="shared" si="5"/>
        <v>144.35999999999999</v>
      </c>
    </row>
    <row r="369" spans="1:8" x14ac:dyDescent="0.3">
      <c r="A369" s="2">
        <v>1258</v>
      </c>
      <c r="B369" s="3">
        <v>45721</v>
      </c>
      <c r="C369" s="2" t="s">
        <v>9</v>
      </c>
      <c r="D369" s="2" t="s">
        <v>13</v>
      </c>
      <c r="E369" s="2" t="s">
        <v>11</v>
      </c>
      <c r="F369" s="2">
        <v>28</v>
      </c>
      <c r="G369" s="4">
        <v>68.760000000000005</v>
      </c>
      <c r="H369" s="5">
        <f t="shared" si="5"/>
        <v>1925.2800000000002</v>
      </c>
    </row>
    <row r="370" spans="1:8" x14ac:dyDescent="0.3">
      <c r="A370" s="2">
        <v>1290</v>
      </c>
      <c r="B370" s="3">
        <v>45724</v>
      </c>
      <c r="C370" s="2" t="s">
        <v>17</v>
      </c>
      <c r="D370" s="2" t="s">
        <v>10</v>
      </c>
      <c r="E370" s="2" t="s">
        <v>20</v>
      </c>
      <c r="F370" s="2">
        <v>19</v>
      </c>
      <c r="G370" s="4">
        <v>51.34</v>
      </c>
      <c r="H370" s="5">
        <f t="shared" si="5"/>
        <v>975.46</v>
      </c>
    </row>
    <row r="371" spans="1:8" x14ac:dyDescent="0.3">
      <c r="A371" s="2">
        <v>1068</v>
      </c>
      <c r="B371" s="3">
        <v>45727</v>
      </c>
      <c r="C371" s="2" t="s">
        <v>12</v>
      </c>
      <c r="D371" s="2" t="s">
        <v>21</v>
      </c>
      <c r="E371" s="2" t="s">
        <v>25</v>
      </c>
      <c r="F371" s="2">
        <v>17</v>
      </c>
      <c r="G371" s="4">
        <v>102.48</v>
      </c>
      <c r="H371" s="5">
        <f t="shared" si="5"/>
        <v>1742.16</v>
      </c>
    </row>
    <row r="372" spans="1:8" x14ac:dyDescent="0.3">
      <c r="A372" s="2">
        <v>1272</v>
      </c>
      <c r="B372" s="3">
        <v>45728</v>
      </c>
      <c r="C372" s="2" t="s">
        <v>9</v>
      </c>
      <c r="D372" s="2" t="s">
        <v>13</v>
      </c>
      <c r="E372" s="2" t="s">
        <v>11</v>
      </c>
      <c r="F372" s="2">
        <v>18</v>
      </c>
      <c r="G372" s="4">
        <v>165.95</v>
      </c>
      <c r="H372" s="5">
        <f t="shared" si="5"/>
        <v>2987.1</v>
      </c>
    </row>
    <row r="373" spans="1:8" x14ac:dyDescent="0.3">
      <c r="A373" s="2">
        <v>1500</v>
      </c>
      <c r="B373" s="3">
        <v>45728</v>
      </c>
      <c r="C373" s="2" t="s">
        <v>12</v>
      </c>
      <c r="D373" s="2" t="s">
        <v>10</v>
      </c>
      <c r="E373" s="2" t="s">
        <v>25</v>
      </c>
      <c r="F373" s="2">
        <v>23</v>
      </c>
      <c r="G373" s="4">
        <v>38.15</v>
      </c>
      <c r="H373" s="5">
        <f t="shared" si="5"/>
        <v>877.44999999999993</v>
      </c>
    </row>
    <row r="374" spans="1:8" x14ac:dyDescent="0.3">
      <c r="A374" s="2">
        <v>1244</v>
      </c>
      <c r="B374" s="3">
        <v>45730</v>
      </c>
      <c r="C374" s="2" t="s">
        <v>9</v>
      </c>
      <c r="D374" s="2" t="s">
        <v>13</v>
      </c>
      <c r="E374" s="2" t="s">
        <v>11</v>
      </c>
      <c r="F374" s="2">
        <v>9</v>
      </c>
      <c r="G374" s="4">
        <v>190.19</v>
      </c>
      <c r="H374" s="5">
        <f t="shared" si="5"/>
        <v>1711.71</v>
      </c>
    </row>
    <row r="375" spans="1:8" x14ac:dyDescent="0.3">
      <c r="A375" s="2">
        <v>1079</v>
      </c>
      <c r="B375" s="3">
        <v>45733</v>
      </c>
      <c r="C375" s="2" t="s">
        <v>9</v>
      </c>
      <c r="D375" s="2" t="s">
        <v>24</v>
      </c>
      <c r="E375" s="2" t="s">
        <v>11</v>
      </c>
      <c r="F375" s="2">
        <v>25</v>
      </c>
      <c r="G375" s="4">
        <v>292.87</v>
      </c>
      <c r="H375" s="5">
        <f t="shared" si="5"/>
        <v>7321.75</v>
      </c>
    </row>
    <row r="376" spans="1:8" x14ac:dyDescent="0.3">
      <c r="A376" s="2">
        <v>1146</v>
      </c>
      <c r="B376" s="3">
        <v>45734</v>
      </c>
      <c r="C376" s="2" t="s">
        <v>12</v>
      </c>
      <c r="D376" s="2" t="s">
        <v>24</v>
      </c>
      <c r="E376" s="2" t="s">
        <v>14</v>
      </c>
      <c r="F376" s="2">
        <v>35</v>
      </c>
      <c r="G376" s="4">
        <v>142.63</v>
      </c>
      <c r="H376" s="5">
        <f t="shared" si="5"/>
        <v>4992.05</v>
      </c>
    </row>
    <row r="377" spans="1:8" x14ac:dyDescent="0.3">
      <c r="A377" s="2">
        <v>1041</v>
      </c>
      <c r="B377" s="3">
        <v>45736</v>
      </c>
      <c r="C377" s="2" t="s">
        <v>17</v>
      </c>
      <c r="D377" s="2" t="s">
        <v>24</v>
      </c>
      <c r="E377" s="2" t="s">
        <v>19</v>
      </c>
      <c r="F377" s="2">
        <v>6</v>
      </c>
      <c r="G377" s="4">
        <v>228.21</v>
      </c>
      <c r="H377" s="5">
        <f t="shared" si="5"/>
        <v>1369.26</v>
      </c>
    </row>
    <row r="378" spans="1:8" x14ac:dyDescent="0.3">
      <c r="A378" s="2">
        <v>1177</v>
      </c>
      <c r="B378" s="3">
        <v>45736</v>
      </c>
      <c r="C378" s="2" t="s">
        <v>9</v>
      </c>
      <c r="D378" s="2" t="s">
        <v>13</v>
      </c>
      <c r="E378" s="2" t="s">
        <v>11</v>
      </c>
      <c r="F378" s="2">
        <v>26</v>
      </c>
      <c r="G378" s="4">
        <v>168.56</v>
      </c>
      <c r="H378" s="5">
        <f t="shared" si="5"/>
        <v>4382.5600000000004</v>
      </c>
    </row>
    <row r="379" spans="1:8" x14ac:dyDescent="0.3">
      <c r="A379" s="2">
        <v>1236</v>
      </c>
      <c r="B379" s="3">
        <v>45738</v>
      </c>
      <c r="C379" s="2" t="s">
        <v>12</v>
      </c>
      <c r="D379" s="2" t="s">
        <v>21</v>
      </c>
      <c r="E379" s="2" t="s">
        <v>14</v>
      </c>
      <c r="F379" s="2">
        <v>35</v>
      </c>
      <c r="G379" s="4">
        <v>111.61</v>
      </c>
      <c r="H379" s="5">
        <f t="shared" si="5"/>
        <v>3906.35</v>
      </c>
    </row>
    <row r="380" spans="1:8" x14ac:dyDescent="0.3">
      <c r="A380" s="2">
        <v>1403</v>
      </c>
      <c r="B380" s="3">
        <v>45738</v>
      </c>
      <c r="C380" s="2" t="s">
        <v>15</v>
      </c>
      <c r="D380" s="2" t="s">
        <v>10</v>
      </c>
      <c r="E380" s="2" t="s">
        <v>23</v>
      </c>
      <c r="F380" s="2">
        <v>22</v>
      </c>
      <c r="G380" s="4">
        <v>14.4</v>
      </c>
      <c r="H380" s="5">
        <f t="shared" si="5"/>
        <v>316.8</v>
      </c>
    </row>
    <row r="381" spans="1:8" x14ac:dyDescent="0.3">
      <c r="A381" s="2">
        <v>1607</v>
      </c>
      <c r="B381" s="3">
        <v>45738</v>
      </c>
      <c r="C381" s="2" t="s">
        <v>17</v>
      </c>
      <c r="D381" s="2" t="s">
        <v>21</v>
      </c>
      <c r="E381" s="2" t="s">
        <v>20</v>
      </c>
      <c r="F381" s="2">
        <v>14</v>
      </c>
      <c r="G381" s="4">
        <v>37.130000000000003</v>
      </c>
      <c r="H381" s="5">
        <f t="shared" si="5"/>
        <v>519.82000000000005</v>
      </c>
    </row>
    <row r="382" spans="1:8" x14ac:dyDescent="0.3">
      <c r="A382" s="2">
        <v>1254</v>
      </c>
      <c r="B382" s="3">
        <v>45739</v>
      </c>
      <c r="C382" s="2" t="s">
        <v>9</v>
      </c>
      <c r="D382" s="2" t="s">
        <v>10</v>
      </c>
      <c r="E382" s="2" t="s">
        <v>22</v>
      </c>
      <c r="F382" s="2">
        <v>10</v>
      </c>
      <c r="G382" s="4">
        <v>33.159999999999997</v>
      </c>
      <c r="H382" s="5">
        <f t="shared" si="5"/>
        <v>331.59999999999997</v>
      </c>
    </row>
    <row r="383" spans="1:8" x14ac:dyDescent="0.3">
      <c r="A383" s="2">
        <v>1312</v>
      </c>
      <c r="B383" s="3">
        <v>45741</v>
      </c>
      <c r="C383" s="2" t="s">
        <v>15</v>
      </c>
      <c r="D383" s="2" t="s">
        <v>18</v>
      </c>
      <c r="E383" s="2" t="s">
        <v>23</v>
      </c>
      <c r="F383" s="2">
        <v>8</v>
      </c>
      <c r="G383" s="4">
        <v>87.48</v>
      </c>
      <c r="H383" s="5">
        <f t="shared" si="5"/>
        <v>699.84</v>
      </c>
    </row>
    <row r="384" spans="1:8" x14ac:dyDescent="0.3">
      <c r="A384" s="2">
        <v>1385</v>
      </c>
      <c r="B384" s="3">
        <v>45742</v>
      </c>
      <c r="C384" s="2" t="s">
        <v>12</v>
      </c>
      <c r="D384" s="2" t="s">
        <v>10</v>
      </c>
      <c r="E384" s="2" t="s">
        <v>25</v>
      </c>
      <c r="F384" s="2">
        <v>27</v>
      </c>
      <c r="G384" s="4">
        <v>54.26</v>
      </c>
      <c r="H384" s="5">
        <f t="shared" si="5"/>
        <v>1465.02</v>
      </c>
    </row>
    <row r="385" spans="1:8" x14ac:dyDescent="0.3">
      <c r="A385" s="2">
        <v>1425</v>
      </c>
      <c r="B385" s="3">
        <v>45742</v>
      </c>
      <c r="C385" s="2" t="s">
        <v>12</v>
      </c>
      <c r="D385" s="2" t="s">
        <v>10</v>
      </c>
      <c r="E385" s="2" t="s">
        <v>25</v>
      </c>
      <c r="F385" s="2">
        <v>3</v>
      </c>
      <c r="G385" s="4">
        <v>22.47</v>
      </c>
      <c r="H385" s="5">
        <f t="shared" si="5"/>
        <v>67.41</v>
      </c>
    </row>
    <row r="386" spans="1:8" x14ac:dyDescent="0.3">
      <c r="A386" s="2">
        <v>1480</v>
      </c>
      <c r="B386" s="3">
        <v>45742</v>
      </c>
      <c r="C386" s="2" t="s">
        <v>15</v>
      </c>
      <c r="D386" s="2" t="s">
        <v>18</v>
      </c>
      <c r="E386" s="2" t="s">
        <v>23</v>
      </c>
      <c r="F386" s="2">
        <v>1</v>
      </c>
      <c r="G386" s="4">
        <v>69.22</v>
      </c>
      <c r="H386" s="5">
        <f t="shared" ref="H386:H449" si="6">F386*G386</f>
        <v>69.22</v>
      </c>
    </row>
    <row r="387" spans="1:8" x14ac:dyDescent="0.3">
      <c r="A387" s="2">
        <v>1495</v>
      </c>
      <c r="B387" s="3">
        <v>45742</v>
      </c>
      <c r="C387" s="2" t="s">
        <v>9</v>
      </c>
      <c r="D387" s="2" t="s">
        <v>10</v>
      </c>
      <c r="E387" s="2" t="s">
        <v>11</v>
      </c>
      <c r="F387" s="2">
        <v>33</v>
      </c>
      <c r="G387" s="4">
        <v>41.33</v>
      </c>
      <c r="H387" s="5">
        <f t="shared" si="6"/>
        <v>1363.8899999999999</v>
      </c>
    </row>
    <row r="388" spans="1:8" x14ac:dyDescent="0.3">
      <c r="A388" s="2">
        <v>1026</v>
      </c>
      <c r="B388" s="3">
        <v>45743</v>
      </c>
      <c r="C388" s="2" t="s">
        <v>9</v>
      </c>
      <c r="D388" s="2" t="s">
        <v>24</v>
      </c>
      <c r="E388" s="2" t="s">
        <v>22</v>
      </c>
      <c r="F388" s="2">
        <v>7</v>
      </c>
      <c r="G388" s="4">
        <v>272.23</v>
      </c>
      <c r="H388" s="5">
        <f t="shared" si="6"/>
        <v>1905.6100000000001</v>
      </c>
    </row>
    <row r="389" spans="1:8" x14ac:dyDescent="0.3">
      <c r="A389" s="2">
        <v>1057</v>
      </c>
      <c r="B389" s="3">
        <v>45744</v>
      </c>
      <c r="C389" s="2" t="s">
        <v>17</v>
      </c>
      <c r="D389" s="2" t="s">
        <v>24</v>
      </c>
      <c r="E389" s="2" t="s">
        <v>20</v>
      </c>
      <c r="F389" s="2">
        <v>14</v>
      </c>
      <c r="G389" s="4">
        <v>217.07</v>
      </c>
      <c r="H389" s="5">
        <f t="shared" si="6"/>
        <v>3038.98</v>
      </c>
    </row>
    <row r="390" spans="1:8" x14ac:dyDescent="0.3">
      <c r="A390" s="2">
        <v>1204</v>
      </c>
      <c r="B390" s="3">
        <v>45744</v>
      </c>
      <c r="C390" s="2" t="s">
        <v>9</v>
      </c>
      <c r="D390" s="2" t="s">
        <v>18</v>
      </c>
      <c r="E390" s="2" t="s">
        <v>11</v>
      </c>
      <c r="F390" s="2">
        <v>34</v>
      </c>
      <c r="G390" s="4">
        <v>37.229999999999997</v>
      </c>
      <c r="H390" s="5">
        <f t="shared" si="6"/>
        <v>1265.82</v>
      </c>
    </row>
    <row r="391" spans="1:8" x14ac:dyDescent="0.3">
      <c r="A391" s="2">
        <v>1054</v>
      </c>
      <c r="B391" s="3">
        <v>45745</v>
      </c>
      <c r="C391" s="2" t="s">
        <v>17</v>
      </c>
      <c r="D391" s="2" t="s">
        <v>10</v>
      </c>
      <c r="E391" s="2" t="s">
        <v>20</v>
      </c>
      <c r="F391" s="2">
        <v>29</v>
      </c>
      <c r="G391" s="4">
        <v>44.64</v>
      </c>
      <c r="H391" s="5">
        <f t="shared" si="6"/>
        <v>1294.56</v>
      </c>
    </row>
    <row r="392" spans="1:8" x14ac:dyDescent="0.3">
      <c r="A392" s="2">
        <v>1144</v>
      </c>
      <c r="B392" s="3">
        <v>45745</v>
      </c>
      <c r="C392" s="2" t="s">
        <v>9</v>
      </c>
      <c r="D392" s="2" t="s">
        <v>24</v>
      </c>
      <c r="E392" s="2" t="s">
        <v>11</v>
      </c>
      <c r="F392" s="2">
        <v>6</v>
      </c>
      <c r="G392" s="4">
        <v>105.04</v>
      </c>
      <c r="H392" s="5">
        <f t="shared" si="6"/>
        <v>630.24</v>
      </c>
    </row>
    <row r="393" spans="1:8" x14ac:dyDescent="0.3">
      <c r="A393" s="2">
        <v>1583</v>
      </c>
      <c r="B393" s="3">
        <v>45748</v>
      </c>
      <c r="C393" s="2" t="s">
        <v>12</v>
      </c>
      <c r="D393" s="2" t="s">
        <v>13</v>
      </c>
      <c r="E393" s="2" t="s">
        <v>14</v>
      </c>
      <c r="F393" s="2">
        <v>12</v>
      </c>
      <c r="G393" s="4">
        <v>152.87</v>
      </c>
      <c r="H393" s="5">
        <f t="shared" si="6"/>
        <v>1834.44</v>
      </c>
    </row>
    <row r="394" spans="1:8" x14ac:dyDescent="0.3">
      <c r="A394" s="2">
        <v>1147</v>
      </c>
      <c r="B394" s="3">
        <v>45749</v>
      </c>
      <c r="C394" s="2" t="s">
        <v>9</v>
      </c>
      <c r="D394" s="2" t="s">
        <v>21</v>
      </c>
      <c r="E394" s="2" t="s">
        <v>22</v>
      </c>
      <c r="F394" s="2">
        <v>31</v>
      </c>
      <c r="G394" s="4">
        <v>115.85</v>
      </c>
      <c r="H394" s="5">
        <f t="shared" si="6"/>
        <v>3591.35</v>
      </c>
    </row>
    <row r="395" spans="1:8" x14ac:dyDescent="0.3">
      <c r="A395" s="2">
        <v>1344</v>
      </c>
      <c r="B395" s="3">
        <v>45749</v>
      </c>
      <c r="C395" s="2" t="s">
        <v>12</v>
      </c>
      <c r="D395" s="2" t="s">
        <v>13</v>
      </c>
      <c r="E395" s="2" t="s">
        <v>25</v>
      </c>
      <c r="F395" s="2">
        <v>29</v>
      </c>
      <c r="G395" s="4">
        <v>134.96</v>
      </c>
      <c r="H395" s="5">
        <f t="shared" si="6"/>
        <v>3913.84</v>
      </c>
    </row>
    <row r="396" spans="1:8" x14ac:dyDescent="0.3">
      <c r="A396" s="2">
        <v>1366</v>
      </c>
      <c r="B396" s="3">
        <v>45749</v>
      </c>
      <c r="C396" s="2" t="s">
        <v>12</v>
      </c>
      <c r="D396" s="2" t="s">
        <v>10</v>
      </c>
      <c r="E396" s="2" t="s">
        <v>25</v>
      </c>
      <c r="F396" s="2">
        <v>6</v>
      </c>
      <c r="G396" s="4">
        <v>11.03</v>
      </c>
      <c r="H396" s="5">
        <f t="shared" si="6"/>
        <v>66.179999999999993</v>
      </c>
    </row>
    <row r="397" spans="1:8" x14ac:dyDescent="0.3">
      <c r="A397" s="2">
        <v>1118</v>
      </c>
      <c r="B397" s="3">
        <v>45752</v>
      </c>
      <c r="C397" s="2" t="s">
        <v>15</v>
      </c>
      <c r="D397" s="2" t="s">
        <v>18</v>
      </c>
      <c r="E397" s="2" t="s">
        <v>23</v>
      </c>
      <c r="F397" s="2">
        <v>12</v>
      </c>
      <c r="G397" s="4">
        <v>33.31</v>
      </c>
      <c r="H397" s="5">
        <f t="shared" si="6"/>
        <v>399.72</v>
      </c>
    </row>
    <row r="398" spans="1:8" x14ac:dyDescent="0.3">
      <c r="A398" s="2">
        <v>1629</v>
      </c>
      <c r="B398" s="3">
        <v>45752</v>
      </c>
      <c r="C398" s="2" t="s">
        <v>15</v>
      </c>
      <c r="D398" s="2" t="s">
        <v>18</v>
      </c>
      <c r="E398" s="2" t="s">
        <v>16</v>
      </c>
      <c r="F398" s="2">
        <v>12</v>
      </c>
      <c r="G398" s="4">
        <v>70.680000000000007</v>
      </c>
      <c r="H398" s="5">
        <f t="shared" si="6"/>
        <v>848.16000000000008</v>
      </c>
    </row>
    <row r="399" spans="1:8" x14ac:dyDescent="0.3">
      <c r="A399" s="2">
        <v>1113</v>
      </c>
      <c r="B399" s="3">
        <v>45753</v>
      </c>
      <c r="C399" s="2" t="s">
        <v>9</v>
      </c>
      <c r="D399" s="2" t="s">
        <v>21</v>
      </c>
      <c r="E399" s="2" t="s">
        <v>22</v>
      </c>
      <c r="F399" s="2">
        <v>36</v>
      </c>
      <c r="G399" s="4">
        <v>26.37</v>
      </c>
      <c r="H399" s="5">
        <f t="shared" si="6"/>
        <v>949.32</v>
      </c>
    </row>
    <row r="400" spans="1:8" x14ac:dyDescent="0.3">
      <c r="A400" s="2">
        <v>1202</v>
      </c>
      <c r="B400" s="3">
        <v>45755</v>
      </c>
      <c r="C400" s="2" t="s">
        <v>12</v>
      </c>
      <c r="D400" s="2" t="s">
        <v>21</v>
      </c>
      <c r="E400" s="2" t="s">
        <v>14</v>
      </c>
      <c r="F400" s="2">
        <v>24</v>
      </c>
      <c r="G400" s="4">
        <v>115.93</v>
      </c>
      <c r="H400" s="5">
        <f t="shared" si="6"/>
        <v>2782.32</v>
      </c>
    </row>
    <row r="401" spans="1:8" x14ac:dyDescent="0.3">
      <c r="A401" s="2">
        <v>1257</v>
      </c>
      <c r="B401" s="3">
        <v>45756</v>
      </c>
      <c r="C401" s="2" t="s">
        <v>15</v>
      </c>
      <c r="D401" s="2" t="s">
        <v>21</v>
      </c>
      <c r="E401" s="2" t="s">
        <v>16</v>
      </c>
      <c r="F401" s="2">
        <v>7</v>
      </c>
      <c r="G401" s="4">
        <v>101.68</v>
      </c>
      <c r="H401" s="5">
        <f t="shared" si="6"/>
        <v>711.76</v>
      </c>
    </row>
    <row r="402" spans="1:8" x14ac:dyDescent="0.3">
      <c r="A402" s="2">
        <v>1380</v>
      </c>
      <c r="B402" s="3">
        <v>45756</v>
      </c>
      <c r="C402" s="2" t="s">
        <v>12</v>
      </c>
      <c r="D402" s="2" t="s">
        <v>24</v>
      </c>
      <c r="E402" s="2" t="s">
        <v>25</v>
      </c>
      <c r="F402" s="2">
        <v>40</v>
      </c>
      <c r="G402" s="4">
        <v>356.99</v>
      </c>
      <c r="H402" s="5">
        <f t="shared" si="6"/>
        <v>14279.6</v>
      </c>
    </row>
    <row r="403" spans="1:8" x14ac:dyDescent="0.3">
      <c r="A403" s="2">
        <v>1014</v>
      </c>
      <c r="B403" s="3">
        <v>45759</v>
      </c>
      <c r="C403" s="2" t="s">
        <v>12</v>
      </c>
      <c r="D403" s="2" t="s">
        <v>24</v>
      </c>
      <c r="E403" s="2" t="s">
        <v>14</v>
      </c>
      <c r="F403" s="2">
        <v>5</v>
      </c>
      <c r="G403" s="4">
        <v>231.71</v>
      </c>
      <c r="H403" s="5">
        <f t="shared" si="6"/>
        <v>1158.55</v>
      </c>
    </row>
    <row r="404" spans="1:8" x14ac:dyDescent="0.3">
      <c r="A404" s="2">
        <v>1093</v>
      </c>
      <c r="B404" s="3">
        <v>45759</v>
      </c>
      <c r="C404" s="2" t="s">
        <v>12</v>
      </c>
      <c r="D404" s="2" t="s">
        <v>10</v>
      </c>
      <c r="E404" s="2" t="s">
        <v>25</v>
      </c>
      <c r="F404" s="2">
        <v>5</v>
      </c>
      <c r="G404" s="4">
        <v>42.96</v>
      </c>
      <c r="H404" s="5">
        <f t="shared" si="6"/>
        <v>214.8</v>
      </c>
    </row>
    <row r="405" spans="1:8" x14ac:dyDescent="0.3">
      <c r="A405" s="2">
        <v>1191</v>
      </c>
      <c r="B405" s="3">
        <v>45761</v>
      </c>
      <c r="C405" s="2" t="s">
        <v>9</v>
      </c>
      <c r="D405" s="2" t="s">
        <v>13</v>
      </c>
      <c r="E405" s="2" t="s">
        <v>22</v>
      </c>
      <c r="F405" s="2">
        <v>9</v>
      </c>
      <c r="G405" s="4">
        <v>43.74</v>
      </c>
      <c r="H405" s="5">
        <f t="shared" si="6"/>
        <v>393.66</v>
      </c>
    </row>
    <row r="406" spans="1:8" x14ac:dyDescent="0.3">
      <c r="A406" s="2">
        <v>1081</v>
      </c>
      <c r="B406" s="3">
        <v>45762</v>
      </c>
      <c r="C406" s="2" t="s">
        <v>9</v>
      </c>
      <c r="D406" s="2" t="s">
        <v>18</v>
      </c>
      <c r="E406" s="2" t="s">
        <v>22</v>
      </c>
      <c r="F406" s="2">
        <v>17</v>
      </c>
      <c r="G406" s="4">
        <v>48.44</v>
      </c>
      <c r="H406" s="5">
        <f t="shared" si="6"/>
        <v>823.48</v>
      </c>
    </row>
    <row r="407" spans="1:8" x14ac:dyDescent="0.3">
      <c r="A407" s="2">
        <v>1309</v>
      </c>
      <c r="B407" s="3">
        <v>45763</v>
      </c>
      <c r="C407" s="2" t="s">
        <v>17</v>
      </c>
      <c r="D407" s="2" t="s">
        <v>24</v>
      </c>
      <c r="E407" s="2" t="s">
        <v>20</v>
      </c>
      <c r="F407" s="2">
        <v>1</v>
      </c>
      <c r="G407" s="4">
        <v>83.65</v>
      </c>
      <c r="H407" s="5">
        <f t="shared" si="6"/>
        <v>83.65</v>
      </c>
    </row>
    <row r="408" spans="1:8" x14ac:dyDescent="0.3">
      <c r="A408" s="2">
        <v>1149</v>
      </c>
      <c r="B408" s="3">
        <v>45767</v>
      </c>
      <c r="C408" s="2" t="s">
        <v>12</v>
      </c>
      <c r="D408" s="2" t="s">
        <v>24</v>
      </c>
      <c r="E408" s="2" t="s">
        <v>14</v>
      </c>
      <c r="F408" s="2">
        <v>5</v>
      </c>
      <c r="G408" s="4">
        <v>142.38</v>
      </c>
      <c r="H408" s="5">
        <f t="shared" si="6"/>
        <v>711.9</v>
      </c>
    </row>
    <row r="409" spans="1:8" x14ac:dyDescent="0.3">
      <c r="A409" s="2">
        <v>1446</v>
      </c>
      <c r="B409" s="3">
        <v>45767</v>
      </c>
      <c r="C409" s="2" t="s">
        <v>9</v>
      </c>
      <c r="D409" s="2" t="s">
        <v>21</v>
      </c>
      <c r="E409" s="2" t="s">
        <v>11</v>
      </c>
      <c r="F409" s="2">
        <v>23</v>
      </c>
      <c r="G409" s="4">
        <v>23.84</v>
      </c>
      <c r="H409" s="5">
        <f t="shared" si="6"/>
        <v>548.32000000000005</v>
      </c>
    </row>
    <row r="410" spans="1:8" x14ac:dyDescent="0.3">
      <c r="A410" s="2">
        <v>1559</v>
      </c>
      <c r="B410" s="3">
        <v>45767</v>
      </c>
      <c r="C410" s="2" t="s">
        <v>15</v>
      </c>
      <c r="D410" s="2" t="s">
        <v>24</v>
      </c>
      <c r="E410" s="2" t="s">
        <v>16</v>
      </c>
      <c r="F410" s="2">
        <v>26</v>
      </c>
      <c r="G410" s="4">
        <v>188.65</v>
      </c>
      <c r="H410" s="5">
        <f t="shared" si="6"/>
        <v>4904.9000000000005</v>
      </c>
    </row>
    <row r="411" spans="1:8" x14ac:dyDescent="0.3">
      <c r="A411" s="2">
        <v>1219</v>
      </c>
      <c r="B411" s="3">
        <v>45768</v>
      </c>
      <c r="C411" s="2" t="s">
        <v>12</v>
      </c>
      <c r="D411" s="2" t="s">
        <v>13</v>
      </c>
      <c r="E411" s="2" t="s">
        <v>25</v>
      </c>
      <c r="F411" s="2">
        <v>7</v>
      </c>
      <c r="G411" s="4">
        <v>64.540000000000006</v>
      </c>
      <c r="H411" s="5">
        <f t="shared" si="6"/>
        <v>451.78000000000003</v>
      </c>
    </row>
    <row r="412" spans="1:8" x14ac:dyDescent="0.3">
      <c r="A412" s="2">
        <v>1030</v>
      </c>
      <c r="B412" s="3">
        <v>45769</v>
      </c>
      <c r="C412" s="2" t="s">
        <v>15</v>
      </c>
      <c r="D412" s="2" t="s">
        <v>13</v>
      </c>
      <c r="E412" s="2" t="s">
        <v>16</v>
      </c>
      <c r="F412" s="2">
        <v>7</v>
      </c>
      <c r="G412" s="4">
        <v>40.03</v>
      </c>
      <c r="H412" s="5">
        <f t="shared" si="6"/>
        <v>280.21000000000004</v>
      </c>
    </row>
    <row r="413" spans="1:8" x14ac:dyDescent="0.3">
      <c r="A413" s="2">
        <v>1143</v>
      </c>
      <c r="B413" s="3">
        <v>45770</v>
      </c>
      <c r="C413" s="2" t="s">
        <v>12</v>
      </c>
      <c r="D413" s="2" t="s">
        <v>21</v>
      </c>
      <c r="E413" s="2" t="s">
        <v>14</v>
      </c>
      <c r="F413" s="2">
        <v>22</v>
      </c>
      <c r="G413" s="4">
        <v>129.09</v>
      </c>
      <c r="H413" s="5">
        <f t="shared" si="6"/>
        <v>2839.98</v>
      </c>
    </row>
    <row r="414" spans="1:8" x14ac:dyDescent="0.3">
      <c r="A414" s="2">
        <v>1468</v>
      </c>
      <c r="B414" s="3">
        <v>45771</v>
      </c>
      <c r="C414" s="2" t="s">
        <v>17</v>
      </c>
      <c r="D414" s="2" t="s">
        <v>21</v>
      </c>
      <c r="E414" s="2" t="s">
        <v>20</v>
      </c>
      <c r="F414" s="2">
        <v>3</v>
      </c>
      <c r="G414" s="4">
        <v>92.48</v>
      </c>
      <c r="H414" s="5">
        <f t="shared" si="6"/>
        <v>277.44</v>
      </c>
    </row>
    <row r="415" spans="1:8" x14ac:dyDescent="0.3">
      <c r="A415" s="2">
        <v>1225</v>
      </c>
      <c r="B415" s="3">
        <v>45772</v>
      </c>
      <c r="C415" s="2" t="s">
        <v>15</v>
      </c>
      <c r="D415" s="2" t="s">
        <v>10</v>
      </c>
      <c r="E415" s="2" t="s">
        <v>23</v>
      </c>
      <c r="F415" s="2">
        <v>28</v>
      </c>
      <c r="G415" s="4">
        <v>52.88</v>
      </c>
      <c r="H415" s="5">
        <f t="shared" si="6"/>
        <v>1480.64</v>
      </c>
    </row>
    <row r="416" spans="1:8" x14ac:dyDescent="0.3">
      <c r="A416" s="2">
        <v>1271</v>
      </c>
      <c r="B416" s="3">
        <v>45772</v>
      </c>
      <c r="C416" s="2" t="s">
        <v>17</v>
      </c>
      <c r="D416" s="2" t="s">
        <v>18</v>
      </c>
      <c r="E416" s="2" t="s">
        <v>19</v>
      </c>
      <c r="F416" s="2">
        <v>17</v>
      </c>
      <c r="G416" s="4">
        <v>67.819999999999993</v>
      </c>
      <c r="H416" s="5">
        <f t="shared" si="6"/>
        <v>1152.9399999999998</v>
      </c>
    </row>
    <row r="417" spans="1:8" x14ac:dyDescent="0.3">
      <c r="A417" s="2">
        <v>1340</v>
      </c>
      <c r="B417" s="3">
        <v>45774</v>
      </c>
      <c r="C417" s="2" t="s">
        <v>17</v>
      </c>
      <c r="D417" s="2" t="s">
        <v>21</v>
      </c>
      <c r="E417" s="2" t="s">
        <v>19</v>
      </c>
      <c r="F417" s="2">
        <v>24</v>
      </c>
      <c r="G417" s="4">
        <v>70.709999999999994</v>
      </c>
      <c r="H417" s="5">
        <f t="shared" si="6"/>
        <v>1697.04</v>
      </c>
    </row>
    <row r="418" spans="1:8" x14ac:dyDescent="0.3">
      <c r="A418" s="2">
        <v>1094</v>
      </c>
      <c r="B418" s="3">
        <v>45777</v>
      </c>
      <c r="C418" s="2" t="s">
        <v>17</v>
      </c>
      <c r="D418" s="2" t="s">
        <v>24</v>
      </c>
      <c r="E418" s="2" t="s">
        <v>19</v>
      </c>
      <c r="F418" s="2">
        <v>14</v>
      </c>
      <c r="G418" s="4">
        <v>155.13</v>
      </c>
      <c r="H418" s="5">
        <f t="shared" si="6"/>
        <v>2171.8199999999997</v>
      </c>
    </row>
    <row r="419" spans="1:8" x14ac:dyDescent="0.3">
      <c r="A419" s="2">
        <v>1084</v>
      </c>
      <c r="B419" s="3">
        <v>45778</v>
      </c>
      <c r="C419" s="2" t="s">
        <v>17</v>
      </c>
      <c r="D419" s="2" t="s">
        <v>10</v>
      </c>
      <c r="E419" s="2" t="s">
        <v>20</v>
      </c>
      <c r="F419" s="2">
        <v>1</v>
      </c>
      <c r="G419" s="4">
        <v>22.41</v>
      </c>
      <c r="H419" s="5">
        <f t="shared" si="6"/>
        <v>22.41</v>
      </c>
    </row>
    <row r="420" spans="1:8" x14ac:dyDescent="0.3">
      <c r="A420" s="2">
        <v>1341</v>
      </c>
      <c r="B420" s="3">
        <v>45784</v>
      </c>
      <c r="C420" s="2" t="s">
        <v>15</v>
      </c>
      <c r="D420" s="2" t="s">
        <v>18</v>
      </c>
      <c r="E420" s="2" t="s">
        <v>16</v>
      </c>
      <c r="F420" s="2">
        <v>10</v>
      </c>
      <c r="G420" s="4">
        <v>32.880000000000003</v>
      </c>
      <c r="H420" s="5">
        <f t="shared" si="6"/>
        <v>328.8</v>
      </c>
    </row>
    <row r="421" spans="1:8" x14ac:dyDescent="0.3">
      <c r="A421" s="2">
        <v>1259</v>
      </c>
      <c r="B421" s="3">
        <v>45786</v>
      </c>
      <c r="C421" s="2" t="s">
        <v>15</v>
      </c>
      <c r="D421" s="2" t="s">
        <v>24</v>
      </c>
      <c r="E421" s="2" t="s">
        <v>16</v>
      </c>
      <c r="F421" s="2">
        <v>12</v>
      </c>
      <c r="G421" s="4">
        <v>245.84</v>
      </c>
      <c r="H421" s="5">
        <f t="shared" si="6"/>
        <v>2950.08</v>
      </c>
    </row>
    <row r="422" spans="1:8" x14ac:dyDescent="0.3">
      <c r="A422" s="2">
        <v>1350</v>
      </c>
      <c r="B422" s="3">
        <v>45786</v>
      </c>
      <c r="C422" s="2" t="s">
        <v>12</v>
      </c>
      <c r="D422" s="2" t="s">
        <v>18</v>
      </c>
      <c r="E422" s="2" t="s">
        <v>25</v>
      </c>
      <c r="F422" s="2">
        <v>14</v>
      </c>
      <c r="G422" s="4">
        <v>62.33</v>
      </c>
      <c r="H422" s="5">
        <f t="shared" si="6"/>
        <v>872.62</v>
      </c>
    </row>
    <row r="423" spans="1:8" x14ac:dyDescent="0.3">
      <c r="A423" s="2">
        <v>1022</v>
      </c>
      <c r="B423" s="3">
        <v>45788</v>
      </c>
      <c r="C423" s="2" t="s">
        <v>9</v>
      </c>
      <c r="D423" s="2" t="s">
        <v>21</v>
      </c>
      <c r="E423" s="2" t="s">
        <v>22</v>
      </c>
      <c r="F423" s="2">
        <v>27</v>
      </c>
      <c r="G423" s="4">
        <v>20.53</v>
      </c>
      <c r="H423" s="5">
        <f t="shared" si="6"/>
        <v>554.31000000000006</v>
      </c>
    </row>
    <row r="424" spans="1:8" x14ac:dyDescent="0.3">
      <c r="A424" s="2">
        <v>1563</v>
      </c>
      <c r="B424" s="3">
        <v>45791</v>
      </c>
      <c r="C424" s="2" t="s">
        <v>9</v>
      </c>
      <c r="D424" s="2" t="s">
        <v>10</v>
      </c>
      <c r="E424" s="2" t="s">
        <v>22</v>
      </c>
      <c r="F424" s="2">
        <v>15</v>
      </c>
      <c r="G424" s="4">
        <v>10.130000000000001</v>
      </c>
      <c r="H424" s="5">
        <f t="shared" si="6"/>
        <v>151.95000000000002</v>
      </c>
    </row>
    <row r="425" spans="1:8" x14ac:dyDescent="0.3">
      <c r="A425" s="2">
        <v>1640</v>
      </c>
      <c r="B425" s="3">
        <v>45792</v>
      </c>
      <c r="C425" s="2" t="s">
        <v>9</v>
      </c>
      <c r="D425" s="2" t="s">
        <v>18</v>
      </c>
      <c r="E425" s="2" t="s">
        <v>11</v>
      </c>
      <c r="F425" s="2">
        <v>10</v>
      </c>
      <c r="G425" s="4">
        <v>71.25</v>
      </c>
      <c r="H425" s="5">
        <f t="shared" si="6"/>
        <v>712.5</v>
      </c>
    </row>
    <row r="426" spans="1:8" x14ac:dyDescent="0.3">
      <c r="A426" s="2">
        <v>1458</v>
      </c>
      <c r="B426" s="3">
        <v>45793</v>
      </c>
      <c r="C426" s="2" t="s">
        <v>9</v>
      </c>
      <c r="D426" s="2" t="s">
        <v>24</v>
      </c>
      <c r="E426" s="2" t="s">
        <v>22</v>
      </c>
      <c r="F426" s="2">
        <v>11</v>
      </c>
      <c r="G426" s="4">
        <v>135.85</v>
      </c>
      <c r="H426" s="5">
        <f t="shared" si="6"/>
        <v>1494.35</v>
      </c>
    </row>
    <row r="427" spans="1:8" x14ac:dyDescent="0.3">
      <c r="A427" s="2">
        <v>1420</v>
      </c>
      <c r="B427" s="3">
        <v>45794</v>
      </c>
      <c r="C427" s="2" t="s">
        <v>15</v>
      </c>
      <c r="D427" s="2" t="s">
        <v>10</v>
      </c>
      <c r="E427" s="2" t="s">
        <v>16</v>
      </c>
      <c r="F427" s="2">
        <v>4</v>
      </c>
      <c r="G427" s="4">
        <v>50.33</v>
      </c>
      <c r="H427" s="5">
        <f t="shared" si="6"/>
        <v>201.32</v>
      </c>
    </row>
    <row r="428" spans="1:8" x14ac:dyDescent="0.3">
      <c r="A428" s="2">
        <v>1135</v>
      </c>
      <c r="B428" s="3">
        <v>45796</v>
      </c>
      <c r="C428" s="2" t="s">
        <v>12</v>
      </c>
      <c r="D428" s="2" t="s">
        <v>21</v>
      </c>
      <c r="E428" s="2" t="s">
        <v>14</v>
      </c>
      <c r="F428" s="2">
        <v>26</v>
      </c>
      <c r="G428" s="4">
        <v>67.099999999999994</v>
      </c>
      <c r="H428" s="5">
        <f t="shared" si="6"/>
        <v>1744.6</v>
      </c>
    </row>
    <row r="429" spans="1:8" x14ac:dyDescent="0.3">
      <c r="A429" s="2">
        <v>1214</v>
      </c>
      <c r="B429" s="3">
        <v>45796</v>
      </c>
      <c r="C429" s="2" t="s">
        <v>9</v>
      </c>
      <c r="D429" s="2" t="s">
        <v>18</v>
      </c>
      <c r="E429" s="2" t="s">
        <v>11</v>
      </c>
      <c r="F429" s="2">
        <v>35</v>
      </c>
      <c r="G429" s="4">
        <v>18.3</v>
      </c>
      <c r="H429" s="5">
        <f t="shared" si="6"/>
        <v>640.5</v>
      </c>
    </row>
    <row r="430" spans="1:8" x14ac:dyDescent="0.3">
      <c r="A430" s="2">
        <v>1371</v>
      </c>
      <c r="B430" s="3">
        <v>45797</v>
      </c>
      <c r="C430" s="2" t="s">
        <v>17</v>
      </c>
      <c r="D430" s="2" t="s">
        <v>24</v>
      </c>
      <c r="E430" s="2" t="s">
        <v>20</v>
      </c>
      <c r="F430" s="2">
        <v>9</v>
      </c>
      <c r="G430" s="4">
        <v>118.89</v>
      </c>
      <c r="H430" s="5">
        <f t="shared" si="6"/>
        <v>1070.01</v>
      </c>
    </row>
    <row r="431" spans="1:8" x14ac:dyDescent="0.3">
      <c r="A431" s="2">
        <v>1241</v>
      </c>
      <c r="B431" s="3">
        <v>45802</v>
      </c>
      <c r="C431" s="2" t="s">
        <v>9</v>
      </c>
      <c r="D431" s="2" t="s">
        <v>24</v>
      </c>
      <c r="E431" s="2" t="s">
        <v>11</v>
      </c>
      <c r="F431" s="2">
        <v>36</v>
      </c>
      <c r="G431" s="4">
        <v>236.89</v>
      </c>
      <c r="H431" s="5">
        <f t="shared" si="6"/>
        <v>8528.0399999999991</v>
      </c>
    </row>
    <row r="432" spans="1:8" x14ac:dyDescent="0.3">
      <c r="A432" s="2">
        <v>1444</v>
      </c>
      <c r="B432" s="3">
        <v>45804</v>
      </c>
      <c r="C432" s="2" t="s">
        <v>17</v>
      </c>
      <c r="D432" s="2" t="s">
        <v>18</v>
      </c>
      <c r="E432" s="2" t="s">
        <v>20</v>
      </c>
      <c r="F432" s="2">
        <v>6</v>
      </c>
      <c r="G432" s="4">
        <v>68.900000000000006</v>
      </c>
      <c r="H432" s="5">
        <f t="shared" si="6"/>
        <v>413.40000000000003</v>
      </c>
    </row>
    <row r="433" spans="1:8" x14ac:dyDescent="0.3">
      <c r="A433" s="2">
        <v>1521</v>
      </c>
      <c r="B433" s="3">
        <v>45807</v>
      </c>
      <c r="C433" s="2" t="s">
        <v>17</v>
      </c>
      <c r="D433" s="2" t="s">
        <v>18</v>
      </c>
      <c r="E433" s="2" t="s">
        <v>20</v>
      </c>
      <c r="F433" s="2">
        <v>10</v>
      </c>
      <c r="G433" s="4">
        <v>89.75</v>
      </c>
      <c r="H433" s="5">
        <f t="shared" si="6"/>
        <v>897.5</v>
      </c>
    </row>
    <row r="434" spans="1:8" x14ac:dyDescent="0.3">
      <c r="A434" s="2">
        <v>1180</v>
      </c>
      <c r="B434" s="3">
        <v>45808</v>
      </c>
      <c r="C434" s="2" t="s">
        <v>9</v>
      </c>
      <c r="D434" s="2" t="s">
        <v>18</v>
      </c>
      <c r="E434" s="2" t="s">
        <v>22</v>
      </c>
      <c r="F434" s="2">
        <v>34</v>
      </c>
      <c r="G434" s="4">
        <v>36.25</v>
      </c>
      <c r="H434" s="5">
        <f t="shared" si="6"/>
        <v>1232.5</v>
      </c>
    </row>
    <row r="435" spans="1:8" x14ac:dyDescent="0.3">
      <c r="A435" s="2">
        <v>1438</v>
      </c>
      <c r="B435" s="3">
        <v>45808</v>
      </c>
      <c r="C435" s="2" t="s">
        <v>9</v>
      </c>
      <c r="D435" s="2" t="s">
        <v>18</v>
      </c>
      <c r="E435" s="2" t="s">
        <v>22</v>
      </c>
      <c r="F435" s="2">
        <v>17</v>
      </c>
      <c r="G435" s="4">
        <v>65.650000000000006</v>
      </c>
      <c r="H435" s="5">
        <f t="shared" si="6"/>
        <v>1116.0500000000002</v>
      </c>
    </row>
    <row r="436" spans="1:8" x14ac:dyDescent="0.3">
      <c r="A436" s="2">
        <v>1075</v>
      </c>
      <c r="B436" s="3">
        <v>45809</v>
      </c>
      <c r="C436" s="2" t="s">
        <v>9</v>
      </c>
      <c r="D436" s="2" t="s">
        <v>10</v>
      </c>
      <c r="E436" s="2" t="s">
        <v>22</v>
      </c>
      <c r="F436" s="2">
        <v>29</v>
      </c>
      <c r="G436" s="4">
        <v>22.28</v>
      </c>
      <c r="H436" s="5">
        <f t="shared" si="6"/>
        <v>646.12</v>
      </c>
    </row>
    <row r="437" spans="1:8" x14ac:dyDescent="0.3">
      <c r="A437" s="2">
        <v>1080</v>
      </c>
      <c r="B437" s="3">
        <v>45810</v>
      </c>
      <c r="C437" s="2" t="s">
        <v>17</v>
      </c>
      <c r="D437" s="2" t="s">
        <v>10</v>
      </c>
      <c r="E437" s="2" t="s">
        <v>20</v>
      </c>
      <c r="F437" s="2">
        <v>3</v>
      </c>
      <c r="G437" s="4">
        <v>44.63</v>
      </c>
      <c r="H437" s="5">
        <f t="shared" si="6"/>
        <v>133.89000000000001</v>
      </c>
    </row>
    <row r="438" spans="1:8" x14ac:dyDescent="0.3">
      <c r="A438" s="2">
        <v>1292</v>
      </c>
      <c r="B438" s="3">
        <v>45810</v>
      </c>
      <c r="C438" s="2" t="s">
        <v>17</v>
      </c>
      <c r="D438" s="2" t="s">
        <v>18</v>
      </c>
      <c r="E438" s="2" t="s">
        <v>19</v>
      </c>
      <c r="F438" s="2">
        <v>22</v>
      </c>
      <c r="G438" s="4">
        <v>74.400000000000006</v>
      </c>
      <c r="H438" s="5">
        <f t="shared" si="6"/>
        <v>1636.8000000000002</v>
      </c>
    </row>
    <row r="439" spans="1:8" x14ac:dyDescent="0.3">
      <c r="A439" s="2">
        <v>1053</v>
      </c>
      <c r="B439" s="3">
        <v>45811</v>
      </c>
      <c r="C439" s="2" t="s">
        <v>15</v>
      </c>
      <c r="D439" s="2" t="s">
        <v>10</v>
      </c>
      <c r="E439" s="2" t="s">
        <v>23</v>
      </c>
      <c r="F439" s="2">
        <v>5</v>
      </c>
      <c r="G439" s="4">
        <v>48</v>
      </c>
      <c r="H439" s="5">
        <f t="shared" si="6"/>
        <v>240</v>
      </c>
    </row>
    <row r="440" spans="1:8" x14ac:dyDescent="0.3">
      <c r="A440" s="2">
        <v>1164</v>
      </c>
      <c r="B440" s="3">
        <v>45811</v>
      </c>
      <c r="C440" s="2" t="s">
        <v>9</v>
      </c>
      <c r="D440" s="2" t="s">
        <v>24</v>
      </c>
      <c r="E440" s="2" t="s">
        <v>22</v>
      </c>
      <c r="F440" s="2">
        <v>7</v>
      </c>
      <c r="G440" s="4">
        <v>397.11</v>
      </c>
      <c r="H440" s="5">
        <f t="shared" si="6"/>
        <v>2779.77</v>
      </c>
    </row>
    <row r="441" spans="1:8" x14ac:dyDescent="0.3">
      <c r="A441" s="2">
        <v>1248</v>
      </c>
      <c r="B441" s="3">
        <v>45811</v>
      </c>
      <c r="C441" s="2" t="s">
        <v>9</v>
      </c>
      <c r="D441" s="2" t="s">
        <v>21</v>
      </c>
      <c r="E441" s="2" t="s">
        <v>22</v>
      </c>
      <c r="F441" s="2">
        <v>40</v>
      </c>
      <c r="G441" s="4">
        <v>118.12</v>
      </c>
      <c r="H441" s="5">
        <f t="shared" si="6"/>
        <v>4724.8</v>
      </c>
    </row>
    <row r="442" spans="1:8" x14ac:dyDescent="0.3">
      <c r="A442" s="2">
        <v>1055</v>
      </c>
      <c r="B442" s="3">
        <v>45812</v>
      </c>
      <c r="C442" s="2" t="s">
        <v>15</v>
      </c>
      <c r="D442" s="2" t="s">
        <v>10</v>
      </c>
      <c r="E442" s="2" t="s">
        <v>23</v>
      </c>
      <c r="F442" s="2">
        <v>17</v>
      </c>
      <c r="G442" s="4">
        <v>44.96</v>
      </c>
      <c r="H442" s="5">
        <f t="shared" si="6"/>
        <v>764.32</v>
      </c>
    </row>
    <row r="443" spans="1:8" x14ac:dyDescent="0.3">
      <c r="A443" s="2">
        <v>1457</v>
      </c>
      <c r="B443" s="3">
        <v>45812</v>
      </c>
      <c r="C443" s="2" t="s">
        <v>12</v>
      </c>
      <c r="D443" s="2" t="s">
        <v>18</v>
      </c>
      <c r="E443" s="2" t="s">
        <v>14</v>
      </c>
      <c r="F443" s="2">
        <v>9</v>
      </c>
      <c r="G443" s="4">
        <v>65.48</v>
      </c>
      <c r="H443" s="5">
        <f t="shared" si="6"/>
        <v>589.32000000000005</v>
      </c>
    </row>
    <row r="444" spans="1:8" x14ac:dyDescent="0.3">
      <c r="A444" s="2">
        <v>1193</v>
      </c>
      <c r="B444" s="3">
        <v>45814</v>
      </c>
      <c r="C444" s="2" t="s">
        <v>12</v>
      </c>
      <c r="D444" s="2" t="s">
        <v>24</v>
      </c>
      <c r="E444" s="2" t="s">
        <v>25</v>
      </c>
      <c r="F444" s="2">
        <v>21</v>
      </c>
      <c r="G444" s="4">
        <v>106.32</v>
      </c>
      <c r="H444" s="5">
        <f t="shared" si="6"/>
        <v>2232.7199999999998</v>
      </c>
    </row>
    <row r="445" spans="1:8" x14ac:dyDescent="0.3">
      <c r="A445" s="2">
        <v>1194</v>
      </c>
      <c r="B445" s="3">
        <v>45815</v>
      </c>
      <c r="C445" s="2" t="s">
        <v>12</v>
      </c>
      <c r="D445" s="2" t="s">
        <v>24</v>
      </c>
      <c r="E445" s="2" t="s">
        <v>14</v>
      </c>
      <c r="F445" s="2">
        <v>9</v>
      </c>
      <c r="G445" s="4">
        <v>288.88</v>
      </c>
      <c r="H445" s="5">
        <f t="shared" si="6"/>
        <v>2599.92</v>
      </c>
    </row>
    <row r="446" spans="1:8" x14ac:dyDescent="0.3">
      <c r="A446" s="2">
        <v>1064</v>
      </c>
      <c r="B446" s="3">
        <v>45816</v>
      </c>
      <c r="C446" s="2" t="s">
        <v>12</v>
      </c>
      <c r="D446" s="2" t="s">
        <v>24</v>
      </c>
      <c r="E446" s="2" t="s">
        <v>25</v>
      </c>
      <c r="F446" s="2">
        <v>7</v>
      </c>
      <c r="G446" s="4">
        <v>390.94</v>
      </c>
      <c r="H446" s="5">
        <f t="shared" si="6"/>
        <v>2736.58</v>
      </c>
    </row>
    <row r="447" spans="1:8" x14ac:dyDescent="0.3">
      <c r="A447" s="2">
        <v>1263</v>
      </c>
      <c r="B447" s="3">
        <v>45816</v>
      </c>
      <c r="C447" s="2" t="s">
        <v>12</v>
      </c>
      <c r="D447" s="2" t="s">
        <v>21</v>
      </c>
      <c r="E447" s="2" t="s">
        <v>14</v>
      </c>
      <c r="F447" s="2">
        <v>30</v>
      </c>
      <c r="G447" s="4">
        <v>73.349999999999994</v>
      </c>
      <c r="H447" s="5">
        <f t="shared" si="6"/>
        <v>2200.5</v>
      </c>
    </row>
    <row r="448" spans="1:8" x14ac:dyDescent="0.3">
      <c r="A448" s="2">
        <v>1643</v>
      </c>
      <c r="B448" s="3">
        <v>45817</v>
      </c>
      <c r="C448" s="2" t="s">
        <v>12</v>
      </c>
      <c r="D448" s="2" t="s">
        <v>18</v>
      </c>
      <c r="E448" s="2" t="s">
        <v>25</v>
      </c>
      <c r="F448" s="2">
        <v>7</v>
      </c>
      <c r="G448" s="4">
        <v>59.94</v>
      </c>
      <c r="H448" s="5">
        <f t="shared" si="6"/>
        <v>419.58</v>
      </c>
    </row>
    <row r="449" spans="1:8" x14ac:dyDescent="0.3">
      <c r="A449" s="2">
        <v>1384</v>
      </c>
      <c r="B449" s="3">
        <v>45818</v>
      </c>
      <c r="C449" s="2" t="s">
        <v>17</v>
      </c>
      <c r="D449" s="2" t="s">
        <v>24</v>
      </c>
      <c r="E449" s="2" t="s">
        <v>19</v>
      </c>
      <c r="F449" s="2">
        <v>10</v>
      </c>
      <c r="G449" s="4">
        <v>268.88</v>
      </c>
      <c r="H449" s="5">
        <f t="shared" si="6"/>
        <v>2688.8</v>
      </c>
    </row>
    <row r="450" spans="1:8" x14ac:dyDescent="0.3">
      <c r="A450" s="2">
        <v>1482</v>
      </c>
      <c r="B450" s="3">
        <v>45818</v>
      </c>
      <c r="C450" s="2" t="s">
        <v>15</v>
      </c>
      <c r="D450" s="2" t="s">
        <v>21</v>
      </c>
      <c r="E450" s="2" t="s">
        <v>23</v>
      </c>
      <c r="F450" s="2">
        <v>12</v>
      </c>
      <c r="G450" s="4">
        <v>77.03</v>
      </c>
      <c r="H450" s="5">
        <f t="shared" ref="H450:H513" si="7">F450*G450</f>
        <v>924.36</v>
      </c>
    </row>
    <row r="451" spans="1:8" x14ac:dyDescent="0.3">
      <c r="A451" s="2">
        <v>1061</v>
      </c>
      <c r="B451" s="3">
        <v>45819</v>
      </c>
      <c r="C451" s="2" t="s">
        <v>15</v>
      </c>
      <c r="D451" s="2" t="s">
        <v>21</v>
      </c>
      <c r="E451" s="2" t="s">
        <v>16</v>
      </c>
      <c r="F451" s="2">
        <v>21</v>
      </c>
      <c r="G451" s="4">
        <v>45.45</v>
      </c>
      <c r="H451" s="5">
        <f t="shared" si="7"/>
        <v>954.45</v>
      </c>
    </row>
    <row r="452" spans="1:8" x14ac:dyDescent="0.3">
      <c r="A452" s="2">
        <v>1067</v>
      </c>
      <c r="B452" s="3">
        <v>45819</v>
      </c>
      <c r="C452" s="2" t="s">
        <v>15</v>
      </c>
      <c r="D452" s="2" t="s">
        <v>21</v>
      </c>
      <c r="E452" s="2" t="s">
        <v>23</v>
      </c>
      <c r="F452" s="2">
        <v>12</v>
      </c>
      <c r="G452" s="4">
        <v>56.28</v>
      </c>
      <c r="H452" s="5">
        <f t="shared" si="7"/>
        <v>675.36</v>
      </c>
    </row>
    <row r="453" spans="1:8" x14ac:dyDescent="0.3">
      <c r="A453" s="2">
        <v>1511</v>
      </c>
      <c r="B453" s="3">
        <v>45821</v>
      </c>
      <c r="C453" s="2" t="s">
        <v>12</v>
      </c>
      <c r="D453" s="2" t="s">
        <v>21</v>
      </c>
      <c r="E453" s="2" t="s">
        <v>14</v>
      </c>
      <c r="F453" s="2">
        <v>20</v>
      </c>
      <c r="G453" s="4">
        <v>88.67</v>
      </c>
      <c r="H453" s="5">
        <f t="shared" si="7"/>
        <v>1773.4</v>
      </c>
    </row>
    <row r="454" spans="1:8" x14ac:dyDescent="0.3">
      <c r="A454" s="2">
        <v>1584</v>
      </c>
      <c r="B454" s="3">
        <v>45821</v>
      </c>
      <c r="C454" s="2" t="s">
        <v>9</v>
      </c>
      <c r="D454" s="2" t="s">
        <v>24</v>
      </c>
      <c r="E454" s="2" t="s">
        <v>11</v>
      </c>
      <c r="F454" s="2">
        <v>34</v>
      </c>
      <c r="G454" s="4">
        <v>197.42</v>
      </c>
      <c r="H454" s="5">
        <f t="shared" si="7"/>
        <v>6712.28</v>
      </c>
    </row>
    <row r="455" spans="1:8" x14ac:dyDescent="0.3">
      <c r="A455" s="2">
        <v>1262</v>
      </c>
      <c r="B455" s="3">
        <v>45823</v>
      </c>
      <c r="C455" s="2" t="s">
        <v>17</v>
      </c>
      <c r="D455" s="2" t="s">
        <v>24</v>
      </c>
      <c r="E455" s="2" t="s">
        <v>19</v>
      </c>
      <c r="F455" s="2">
        <v>31</v>
      </c>
      <c r="G455" s="4">
        <v>253.13</v>
      </c>
      <c r="H455" s="5">
        <f t="shared" si="7"/>
        <v>7847.03</v>
      </c>
    </row>
    <row r="456" spans="1:8" x14ac:dyDescent="0.3">
      <c r="A456" s="2">
        <v>1582</v>
      </c>
      <c r="B456" s="3">
        <v>45825</v>
      </c>
      <c r="C456" s="2" t="s">
        <v>17</v>
      </c>
      <c r="D456" s="2" t="s">
        <v>13</v>
      </c>
      <c r="E456" s="2" t="s">
        <v>20</v>
      </c>
      <c r="F456" s="2">
        <v>19</v>
      </c>
      <c r="G456" s="4">
        <v>73.13</v>
      </c>
      <c r="H456" s="5">
        <f t="shared" si="7"/>
        <v>1389.4699999999998</v>
      </c>
    </row>
    <row r="457" spans="1:8" x14ac:dyDescent="0.3">
      <c r="A457" s="2">
        <v>1324</v>
      </c>
      <c r="B457" s="3">
        <v>45826</v>
      </c>
      <c r="C457" s="2" t="s">
        <v>17</v>
      </c>
      <c r="D457" s="2" t="s">
        <v>13</v>
      </c>
      <c r="E457" s="2" t="s">
        <v>20</v>
      </c>
      <c r="F457" s="2">
        <v>13</v>
      </c>
      <c r="G457" s="4">
        <v>58.1</v>
      </c>
      <c r="H457" s="5">
        <f t="shared" si="7"/>
        <v>755.30000000000007</v>
      </c>
    </row>
    <row r="458" spans="1:8" x14ac:dyDescent="0.3">
      <c r="A458" s="2">
        <v>1357</v>
      </c>
      <c r="B458" s="3">
        <v>45826</v>
      </c>
      <c r="C458" s="2" t="s">
        <v>9</v>
      </c>
      <c r="D458" s="2" t="s">
        <v>18</v>
      </c>
      <c r="E458" s="2" t="s">
        <v>11</v>
      </c>
      <c r="F458" s="2">
        <v>6</v>
      </c>
      <c r="G458" s="4">
        <v>60.05</v>
      </c>
      <c r="H458" s="5">
        <f t="shared" si="7"/>
        <v>360.29999999999995</v>
      </c>
    </row>
    <row r="459" spans="1:8" x14ac:dyDescent="0.3">
      <c r="A459" s="2">
        <v>1238</v>
      </c>
      <c r="B459" s="3">
        <v>45828</v>
      </c>
      <c r="C459" s="2" t="s">
        <v>9</v>
      </c>
      <c r="D459" s="2" t="s">
        <v>21</v>
      </c>
      <c r="E459" s="2" t="s">
        <v>11</v>
      </c>
      <c r="F459" s="2">
        <v>32</v>
      </c>
      <c r="G459" s="4">
        <v>20.57</v>
      </c>
      <c r="H459" s="5">
        <f t="shared" si="7"/>
        <v>658.24</v>
      </c>
    </row>
    <row r="460" spans="1:8" x14ac:dyDescent="0.3">
      <c r="A460" s="2">
        <v>1401</v>
      </c>
      <c r="B460" s="3">
        <v>45830</v>
      </c>
      <c r="C460" s="2" t="s">
        <v>15</v>
      </c>
      <c r="D460" s="2" t="s">
        <v>21</v>
      </c>
      <c r="E460" s="2" t="s">
        <v>23</v>
      </c>
      <c r="F460" s="2">
        <v>32</v>
      </c>
      <c r="G460" s="4">
        <v>122.32</v>
      </c>
      <c r="H460" s="5">
        <f t="shared" si="7"/>
        <v>3914.24</v>
      </c>
    </row>
    <row r="461" spans="1:8" x14ac:dyDescent="0.3">
      <c r="A461" s="2">
        <v>1045</v>
      </c>
      <c r="B461" s="3">
        <v>45831</v>
      </c>
      <c r="C461" s="2" t="s">
        <v>9</v>
      </c>
      <c r="D461" s="2" t="s">
        <v>13</v>
      </c>
      <c r="E461" s="2" t="s">
        <v>11</v>
      </c>
      <c r="F461" s="2">
        <v>14</v>
      </c>
      <c r="G461" s="4">
        <v>169.58</v>
      </c>
      <c r="H461" s="5">
        <f t="shared" si="7"/>
        <v>2374.1200000000003</v>
      </c>
    </row>
    <row r="462" spans="1:8" x14ac:dyDescent="0.3">
      <c r="A462" s="2">
        <v>1268</v>
      </c>
      <c r="B462" s="3">
        <v>45831</v>
      </c>
      <c r="C462" s="2" t="s">
        <v>9</v>
      </c>
      <c r="D462" s="2" t="s">
        <v>13</v>
      </c>
      <c r="E462" s="2" t="s">
        <v>22</v>
      </c>
      <c r="F462" s="2">
        <v>9</v>
      </c>
      <c r="G462" s="4">
        <v>62.1</v>
      </c>
      <c r="H462" s="5">
        <f t="shared" si="7"/>
        <v>558.9</v>
      </c>
    </row>
    <row r="463" spans="1:8" x14ac:dyDescent="0.3">
      <c r="A463" s="2">
        <v>1032</v>
      </c>
      <c r="B463" s="3">
        <v>45832</v>
      </c>
      <c r="C463" s="2" t="s">
        <v>17</v>
      </c>
      <c r="D463" s="2" t="s">
        <v>18</v>
      </c>
      <c r="E463" s="2" t="s">
        <v>20</v>
      </c>
      <c r="F463" s="2">
        <v>20</v>
      </c>
      <c r="G463" s="4">
        <v>71.86</v>
      </c>
      <c r="H463" s="5">
        <f t="shared" si="7"/>
        <v>1437.2</v>
      </c>
    </row>
    <row r="464" spans="1:8" x14ac:dyDescent="0.3">
      <c r="A464" s="2">
        <v>1073</v>
      </c>
      <c r="B464" s="3">
        <v>45835</v>
      </c>
      <c r="C464" s="2" t="s">
        <v>9</v>
      </c>
      <c r="D464" s="2" t="s">
        <v>21</v>
      </c>
      <c r="E464" s="2" t="s">
        <v>22</v>
      </c>
      <c r="F464" s="2">
        <v>12</v>
      </c>
      <c r="G464" s="4">
        <v>85.01</v>
      </c>
      <c r="H464" s="5">
        <f t="shared" si="7"/>
        <v>1020.1200000000001</v>
      </c>
    </row>
    <row r="465" spans="1:8" x14ac:dyDescent="0.3">
      <c r="A465" s="2">
        <v>1276</v>
      </c>
      <c r="B465" s="3">
        <v>45835</v>
      </c>
      <c r="C465" s="2" t="s">
        <v>17</v>
      </c>
      <c r="D465" s="2" t="s">
        <v>10</v>
      </c>
      <c r="E465" s="2" t="s">
        <v>20</v>
      </c>
      <c r="F465" s="2">
        <v>14</v>
      </c>
      <c r="G465" s="4">
        <v>42.87</v>
      </c>
      <c r="H465" s="5">
        <f t="shared" si="7"/>
        <v>600.17999999999995</v>
      </c>
    </row>
    <row r="466" spans="1:8" x14ac:dyDescent="0.3">
      <c r="A466" s="2">
        <v>1493</v>
      </c>
      <c r="B466" s="3">
        <v>45835</v>
      </c>
      <c r="C466" s="2" t="s">
        <v>17</v>
      </c>
      <c r="D466" s="2" t="s">
        <v>13</v>
      </c>
      <c r="E466" s="2" t="s">
        <v>20</v>
      </c>
      <c r="F466" s="2">
        <v>15</v>
      </c>
      <c r="G466" s="4">
        <v>121.95</v>
      </c>
      <c r="H466" s="5">
        <f t="shared" si="7"/>
        <v>1829.25</v>
      </c>
    </row>
    <row r="467" spans="1:8" x14ac:dyDescent="0.3">
      <c r="A467" s="2">
        <v>1245</v>
      </c>
      <c r="B467" s="3">
        <v>45836</v>
      </c>
      <c r="C467" s="2" t="s">
        <v>12</v>
      </c>
      <c r="D467" s="2" t="s">
        <v>21</v>
      </c>
      <c r="E467" s="2" t="s">
        <v>14</v>
      </c>
      <c r="F467" s="2">
        <v>29</v>
      </c>
      <c r="G467" s="4">
        <v>87.83</v>
      </c>
      <c r="H467" s="5">
        <f t="shared" si="7"/>
        <v>2547.0700000000002</v>
      </c>
    </row>
    <row r="468" spans="1:8" x14ac:dyDescent="0.3">
      <c r="A468" s="2">
        <v>1023</v>
      </c>
      <c r="B468" s="3">
        <v>45839</v>
      </c>
      <c r="C468" s="2" t="s">
        <v>17</v>
      </c>
      <c r="D468" s="2" t="s">
        <v>10</v>
      </c>
      <c r="E468" s="2" t="s">
        <v>19</v>
      </c>
      <c r="F468" s="2">
        <v>33</v>
      </c>
      <c r="G468" s="4">
        <v>57.65</v>
      </c>
      <c r="H468" s="5">
        <f t="shared" si="7"/>
        <v>1902.45</v>
      </c>
    </row>
    <row r="469" spans="1:8" x14ac:dyDescent="0.3">
      <c r="A469" s="2">
        <v>1279</v>
      </c>
      <c r="B469" s="3">
        <v>45839</v>
      </c>
      <c r="C469" s="2" t="s">
        <v>9</v>
      </c>
      <c r="D469" s="2" t="s">
        <v>10</v>
      </c>
      <c r="E469" s="2" t="s">
        <v>11</v>
      </c>
      <c r="F469" s="2">
        <v>36</v>
      </c>
      <c r="G469" s="4">
        <v>43.42</v>
      </c>
      <c r="H469" s="5">
        <f t="shared" si="7"/>
        <v>1563.1200000000001</v>
      </c>
    </row>
    <row r="470" spans="1:8" x14ac:dyDescent="0.3">
      <c r="A470" s="2">
        <v>1639</v>
      </c>
      <c r="B470" s="3">
        <v>45839</v>
      </c>
      <c r="C470" s="2" t="s">
        <v>9</v>
      </c>
      <c r="D470" s="2" t="s">
        <v>24</v>
      </c>
      <c r="E470" s="2" t="s">
        <v>11</v>
      </c>
      <c r="F470" s="2">
        <v>4</v>
      </c>
      <c r="G470" s="4">
        <v>113.84</v>
      </c>
      <c r="H470" s="5">
        <f t="shared" si="7"/>
        <v>455.36</v>
      </c>
    </row>
    <row r="471" spans="1:8" x14ac:dyDescent="0.3">
      <c r="A471" s="2">
        <v>1637</v>
      </c>
      <c r="B471" s="3">
        <v>45840</v>
      </c>
      <c r="C471" s="2" t="s">
        <v>12</v>
      </c>
      <c r="D471" s="2" t="s">
        <v>10</v>
      </c>
      <c r="E471" s="2" t="s">
        <v>14</v>
      </c>
      <c r="F471" s="2">
        <v>13</v>
      </c>
      <c r="G471" s="4">
        <v>28.34</v>
      </c>
      <c r="H471" s="5">
        <f t="shared" si="7"/>
        <v>368.42</v>
      </c>
    </row>
    <row r="472" spans="1:8" x14ac:dyDescent="0.3">
      <c r="A472" s="2">
        <v>1608</v>
      </c>
      <c r="B472" s="3">
        <v>45841</v>
      </c>
      <c r="C472" s="2" t="s">
        <v>17</v>
      </c>
      <c r="D472" s="2" t="s">
        <v>13</v>
      </c>
      <c r="E472" s="2" t="s">
        <v>19</v>
      </c>
      <c r="F472" s="2">
        <v>10</v>
      </c>
      <c r="G472" s="4">
        <v>149.22999999999999</v>
      </c>
      <c r="H472" s="5">
        <f t="shared" si="7"/>
        <v>1492.3</v>
      </c>
    </row>
    <row r="473" spans="1:8" x14ac:dyDescent="0.3">
      <c r="A473" s="2">
        <v>1160</v>
      </c>
      <c r="B473" s="3">
        <v>45843</v>
      </c>
      <c r="C473" s="2" t="s">
        <v>12</v>
      </c>
      <c r="D473" s="2" t="s">
        <v>21</v>
      </c>
      <c r="E473" s="2" t="s">
        <v>14</v>
      </c>
      <c r="F473" s="2">
        <v>18</v>
      </c>
      <c r="G473" s="4">
        <v>56.32</v>
      </c>
      <c r="H473" s="5">
        <f t="shared" si="7"/>
        <v>1013.76</v>
      </c>
    </row>
    <row r="474" spans="1:8" x14ac:dyDescent="0.3">
      <c r="A474" s="2">
        <v>1320</v>
      </c>
      <c r="B474" s="3">
        <v>45844</v>
      </c>
      <c r="C474" s="2" t="s">
        <v>15</v>
      </c>
      <c r="D474" s="2" t="s">
        <v>13</v>
      </c>
      <c r="E474" s="2" t="s">
        <v>23</v>
      </c>
      <c r="F474" s="2">
        <v>15</v>
      </c>
      <c r="G474" s="4">
        <v>162.85</v>
      </c>
      <c r="H474" s="5">
        <f t="shared" si="7"/>
        <v>2442.75</v>
      </c>
    </row>
    <row r="475" spans="1:8" x14ac:dyDescent="0.3">
      <c r="A475" s="2">
        <v>1372</v>
      </c>
      <c r="B475" s="3">
        <v>45846</v>
      </c>
      <c r="C475" s="2" t="s">
        <v>9</v>
      </c>
      <c r="D475" s="2" t="s">
        <v>18</v>
      </c>
      <c r="E475" s="2" t="s">
        <v>11</v>
      </c>
      <c r="F475" s="2">
        <v>30</v>
      </c>
      <c r="G475" s="4">
        <v>65.16</v>
      </c>
      <c r="H475" s="5">
        <f t="shared" si="7"/>
        <v>1954.8</v>
      </c>
    </row>
    <row r="476" spans="1:8" x14ac:dyDescent="0.3">
      <c r="A476" s="2">
        <v>1494</v>
      </c>
      <c r="B476" s="3">
        <v>45846</v>
      </c>
      <c r="C476" s="2" t="s">
        <v>12</v>
      </c>
      <c r="D476" s="2" t="s">
        <v>10</v>
      </c>
      <c r="E476" s="2" t="s">
        <v>25</v>
      </c>
      <c r="F476" s="2">
        <v>5</v>
      </c>
      <c r="G476" s="4">
        <v>52.58</v>
      </c>
      <c r="H476" s="5">
        <f t="shared" si="7"/>
        <v>262.89999999999998</v>
      </c>
    </row>
    <row r="477" spans="1:8" x14ac:dyDescent="0.3">
      <c r="A477" s="2">
        <v>1636</v>
      </c>
      <c r="B477" s="3">
        <v>45846</v>
      </c>
      <c r="C477" s="2" t="s">
        <v>12</v>
      </c>
      <c r="D477" s="2" t="s">
        <v>21</v>
      </c>
      <c r="E477" s="2" t="s">
        <v>14</v>
      </c>
      <c r="F477" s="2">
        <v>37</v>
      </c>
      <c r="G477" s="4">
        <v>51.98</v>
      </c>
      <c r="H477" s="5">
        <f t="shared" si="7"/>
        <v>1923.26</v>
      </c>
    </row>
    <row r="478" spans="1:8" x14ac:dyDescent="0.3">
      <c r="A478" s="2">
        <v>1441</v>
      </c>
      <c r="B478" s="3">
        <v>45847</v>
      </c>
      <c r="C478" s="2" t="s">
        <v>17</v>
      </c>
      <c r="D478" s="2" t="s">
        <v>13</v>
      </c>
      <c r="E478" s="2" t="s">
        <v>20</v>
      </c>
      <c r="F478" s="2">
        <v>37</v>
      </c>
      <c r="G478" s="4">
        <v>140.07</v>
      </c>
      <c r="H478" s="5">
        <f t="shared" si="7"/>
        <v>5182.59</v>
      </c>
    </row>
    <row r="479" spans="1:8" x14ac:dyDescent="0.3">
      <c r="A479" s="2">
        <v>1390</v>
      </c>
      <c r="B479" s="3">
        <v>45851</v>
      </c>
      <c r="C479" s="2" t="s">
        <v>15</v>
      </c>
      <c r="D479" s="2" t="s">
        <v>10</v>
      </c>
      <c r="E479" s="2" t="s">
        <v>16</v>
      </c>
      <c r="F479" s="2">
        <v>23</v>
      </c>
      <c r="G479" s="4">
        <v>10.59</v>
      </c>
      <c r="H479" s="5">
        <f t="shared" si="7"/>
        <v>243.57</v>
      </c>
    </row>
    <row r="480" spans="1:8" x14ac:dyDescent="0.3">
      <c r="A480" s="2">
        <v>1172</v>
      </c>
      <c r="B480" s="3">
        <v>45853</v>
      </c>
      <c r="C480" s="2" t="s">
        <v>15</v>
      </c>
      <c r="D480" s="2" t="s">
        <v>24</v>
      </c>
      <c r="E480" s="2" t="s">
        <v>16</v>
      </c>
      <c r="F480" s="2">
        <v>26</v>
      </c>
      <c r="G480" s="4">
        <v>112.44</v>
      </c>
      <c r="H480" s="5">
        <f t="shared" si="7"/>
        <v>2923.44</v>
      </c>
    </row>
    <row r="481" spans="1:8" x14ac:dyDescent="0.3">
      <c r="A481" s="2">
        <v>1304</v>
      </c>
      <c r="B481" s="3">
        <v>45853</v>
      </c>
      <c r="C481" s="2" t="s">
        <v>12</v>
      </c>
      <c r="D481" s="2" t="s">
        <v>24</v>
      </c>
      <c r="E481" s="2" t="s">
        <v>14</v>
      </c>
      <c r="F481" s="2">
        <v>10</v>
      </c>
      <c r="G481" s="4">
        <v>147.93</v>
      </c>
      <c r="H481" s="5">
        <f t="shared" si="7"/>
        <v>1479.3000000000002</v>
      </c>
    </row>
    <row r="482" spans="1:8" x14ac:dyDescent="0.3">
      <c r="A482" s="2">
        <v>1388</v>
      </c>
      <c r="B482" s="3">
        <v>45853</v>
      </c>
      <c r="C482" s="2" t="s">
        <v>17</v>
      </c>
      <c r="D482" s="2" t="s">
        <v>13</v>
      </c>
      <c r="E482" s="2" t="s">
        <v>19</v>
      </c>
      <c r="F482" s="2">
        <v>31</v>
      </c>
      <c r="G482" s="4">
        <v>132.24</v>
      </c>
      <c r="H482" s="5">
        <f t="shared" si="7"/>
        <v>4099.4400000000005</v>
      </c>
    </row>
    <row r="483" spans="1:8" x14ac:dyDescent="0.3">
      <c r="A483" s="2">
        <v>1464</v>
      </c>
      <c r="B483" s="3">
        <v>45853</v>
      </c>
      <c r="C483" s="2" t="s">
        <v>15</v>
      </c>
      <c r="D483" s="2" t="s">
        <v>18</v>
      </c>
      <c r="E483" s="2" t="s">
        <v>23</v>
      </c>
      <c r="F483" s="2">
        <v>30</v>
      </c>
      <c r="G483" s="4">
        <v>59.9</v>
      </c>
      <c r="H483" s="5">
        <f t="shared" si="7"/>
        <v>1797</v>
      </c>
    </row>
    <row r="484" spans="1:8" x14ac:dyDescent="0.3">
      <c r="A484" s="2">
        <v>1492</v>
      </c>
      <c r="B484" s="3">
        <v>45853</v>
      </c>
      <c r="C484" s="2" t="s">
        <v>12</v>
      </c>
      <c r="D484" s="2" t="s">
        <v>18</v>
      </c>
      <c r="E484" s="2" t="s">
        <v>14</v>
      </c>
      <c r="F484" s="2">
        <v>13</v>
      </c>
      <c r="G484" s="4">
        <v>63.73</v>
      </c>
      <c r="H484" s="5">
        <f t="shared" si="7"/>
        <v>828.49</v>
      </c>
    </row>
    <row r="485" spans="1:8" x14ac:dyDescent="0.3">
      <c r="A485" s="2">
        <v>1188</v>
      </c>
      <c r="B485" s="3">
        <v>45855</v>
      </c>
      <c r="C485" s="2" t="s">
        <v>17</v>
      </c>
      <c r="D485" s="2" t="s">
        <v>13</v>
      </c>
      <c r="E485" s="2" t="s">
        <v>19</v>
      </c>
      <c r="F485" s="2">
        <v>28</v>
      </c>
      <c r="G485" s="4">
        <v>126.96</v>
      </c>
      <c r="H485" s="5">
        <f t="shared" si="7"/>
        <v>3554.8799999999997</v>
      </c>
    </row>
    <row r="486" spans="1:8" x14ac:dyDescent="0.3">
      <c r="A486" s="2">
        <v>1003</v>
      </c>
      <c r="B486" s="3">
        <v>45856</v>
      </c>
      <c r="C486" s="2" t="s">
        <v>15</v>
      </c>
      <c r="D486" s="2" t="s">
        <v>24</v>
      </c>
      <c r="E486" s="2" t="s">
        <v>23</v>
      </c>
      <c r="F486" s="2">
        <v>38</v>
      </c>
      <c r="G486" s="4">
        <v>383.18</v>
      </c>
      <c r="H486" s="5">
        <f t="shared" si="7"/>
        <v>14560.84</v>
      </c>
    </row>
    <row r="487" spans="1:8" x14ac:dyDescent="0.3">
      <c r="A487" s="2">
        <v>1179</v>
      </c>
      <c r="B487" s="3">
        <v>45856</v>
      </c>
      <c r="C487" s="2" t="s">
        <v>9</v>
      </c>
      <c r="D487" s="2" t="s">
        <v>13</v>
      </c>
      <c r="E487" s="2" t="s">
        <v>11</v>
      </c>
      <c r="F487" s="2">
        <v>24</v>
      </c>
      <c r="G487" s="4">
        <v>125.25</v>
      </c>
      <c r="H487" s="5">
        <f t="shared" si="7"/>
        <v>3006</v>
      </c>
    </row>
    <row r="488" spans="1:8" x14ac:dyDescent="0.3">
      <c r="A488" s="2">
        <v>1476</v>
      </c>
      <c r="B488" s="3">
        <v>45856</v>
      </c>
      <c r="C488" s="2" t="s">
        <v>17</v>
      </c>
      <c r="D488" s="2" t="s">
        <v>21</v>
      </c>
      <c r="E488" s="2" t="s">
        <v>20</v>
      </c>
      <c r="F488" s="2">
        <v>7</v>
      </c>
      <c r="G488" s="4">
        <v>27.5</v>
      </c>
      <c r="H488" s="5">
        <f t="shared" si="7"/>
        <v>192.5</v>
      </c>
    </row>
    <row r="489" spans="1:8" x14ac:dyDescent="0.3">
      <c r="A489" s="2">
        <v>1157</v>
      </c>
      <c r="B489" s="3">
        <v>45857</v>
      </c>
      <c r="C489" s="2" t="s">
        <v>17</v>
      </c>
      <c r="D489" s="2" t="s">
        <v>18</v>
      </c>
      <c r="E489" s="2" t="s">
        <v>19</v>
      </c>
      <c r="F489" s="2">
        <v>5</v>
      </c>
      <c r="G489" s="4">
        <v>81.260000000000005</v>
      </c>
      <c r="H489" s="5">
        <f t="shared" si="7"/>
        <v>406.3</v>
      </c>
    </row>
    <row r="490" spans="1:8" x14ac:dyDescent="0.3">
      <c r="A490" s="2">
        <v>1347</v>
      </c>
      <c r="B490" s="3">
        <v>45858</v>
      </c>
      <c r="C490" s="2" t="s">
        <v>9</v>
      </c>
      <c r="D490" s="2" t="s">
        <v>13</v>
      </c>
      <c r="E490" s="2" t="s">
        <v>11</v>
      </c>
      <c r="F490" s="2">
        <v>27</v>
      </c>
      <c r="G490" s="4">
        <v>71.62</v>
      </c>
      <c r="H490" s="5">
        <f t="shared" si="7"/>
        <v>1933.7400000000002</v>
      </c>
    </row>
    <row r="491" spans="1:8" x14ac:dyDescent="0.3">
      <c r="A491" s="2">
        <v>1112</v>
      </c>
      <c r="B491" s="3">
        <v>45859</v>
      </c>
      <c r="C491" s="2" t="s">
        <v>9</v>
      </c>
      <c r="D491" s="2" t="s">
        <v>24</v>
      </c>
      <c r="E491" s="2" t="s">
        <v>11</v>
      </c>
      <c r="F491" s="2">
        <v>27</v>
      </c>
      <c r="G491" s="4">
        <v>378.71</v>
      </c>
      <c r="H491" s="5">
        <f t="shared" si="7"/>
        <v>10225.17</v>
      </c>
    </row>
    <row r="492" spans="1:8" x14ac:dyDescent="0.3">
      <c r="A492" s="2">
        <v>1433</v>
      </c>
      <c r="B492" s="3">
        <v>45859</v>
      </c>
      <c r="C492" s="2" t="s">
        <v>9</v>
      </c>
      <c r="D492" s="2" t="s">
        <v>13</v>
      </c>
      <c r="E492" s="2" t="s">
        <v>11</v>
      </c>
      <c r="F492" s="2">
        <v>23</v>
      </c>
      <c r="G492" s="4">
        <v>106.73</v>
      </c>
      <c r="H492" s="5">
        <f t="shared" si="7"/>
        <v>2454.79</v>
      </c>
    </row>
    <row r="493" spans="1:8" x14ac:dyDescent="0.3">
      <c r="A493" s="2">
        <v>1490</v>
      </c>
      <c r="B493" s="3">
        <v>45860</v>
      </c>
      <c r="C493" s="2" t="s">
        <v>15</v>
      </c>
      <c r="D493" s="2" t="s">
        <v>21</v>
      </c>
      <c r="E493" s="2" t="s">
        <v>23</v>
      </c>
      <c r="F493" s="2">
        <v>26</v>
      </c>
      <c r="G493" s="4">
        <v>93.43</v>
      </c>
      <c r="H493" s="5">
        <f t="shared" si="7"/>
        <v>2429.1800000000003</v>
      </c>
    </row>
    <row r="494" spans="1:8" x14ac:dyDescent="0.3">
      <c r="A494" s="2">
        <v>1539</v>
      </c>
      <c r="B494" s="3">
        <v>45860</v>
      </c>
      <c r="C494" s="2" t="s">
        <v>9</v>
      </c>
      <c r="D494" s="2" t="s">
        <v>10</v>
      </c>
      <c r="E494" s="2" t="s">
        <v>22</v>
      </c>
      <c r="F494" s="2">
        <v>40</v>
      </c>
      <c r="G494" s="4">
        <v>21.5</v>
      </c>
      <c r="H494" s="5">
        <f t="shared" si="7"/>
        <v>860</v>
      </c>
    </row>
    <row r="495" spans="1:8" x14ac:dyDescent="0.3">
      <c r="A495" s="2">
        <v>1545</v>
      </c>
      <c r="B495" s="3">
        <v>45860</v>
      </c>
      <c r="C495" s="2" t="s">
        <v>9</v>
      </c>
      <c r="D495" s="2" t="s">
        <v>21</v>
      </c>
      <c r="E495" s="2" t="s">
        <v>22</v>
      </c>
      <c r="F495" s="2">
        <v>12</v>
      </c>
      <c r="G495" s="4">
        <v>115.89</v>
      </c>
      <c r="H495" s="5">
        <f t="shared" si="7"/>
        <v>1390.68</v>
      </c>
    </row>
    <row r="496" spans="1:8" x14ac:dyDescent="0.3">
      <c r="A496" s="2">
        <v>1013</v>
      </c>
      <c r="B496" s="3">
        <v>45863</v>
      </c>
      <c r="C496" s="2" t="s">
        <v>17</v>
      </c>
      <c r="D496" s="2" t="s">
        <v>21</v>
      </c>
      <c r="E496" s="2" t="s">
        <v>19</v>
      </c>
      <c r="F496" s="2">
        <v>38</v>
      </c>
      <c r="G496" s="4">
        <v>97.27</v>
      </c>
      <c r="H496" s="5">
        <f t="shared" si="7"/>
        <v>3696.2599999999998</v>
      </c>
    </row>
    <row r="497" spans="1:8" x14ac:dyDescent="0.3">
      <c r="A497" s="2">
        <v>1056</v>
      </c>
      <c r="B497" s="3">
        <v>45864</v>
      </c>
      <c r="C497" s="2" t="s">
        <v>9</v>
      </c>
      <c r="D497" s="2" t="s">
        <v>13</v>
      </c>
      <c r="E497" s="2" t="s">
        <v>11</v>
      </c>
      <c r="F497" s="2">
        <v>26</v>
      </c>
      <c r="G497" s="4">
        <v>97.91</v>
      </c>
      <c r="H497" s="5">
        <f t="shared" si="7"/>
        <v>2545.66</v>
      </c>
    </row>
    <row r="498" spans="1:8" x14ac:dyDescent="0.3">
      <c r="A498" s="2">
        <v>1052</v>
      </c>
      <c r="B498" s="3">
        <v>45865</v>
      </c>
      <c r="C498" s="2" t="s">
        <v>12</v>
      </c>
      <c r="D498" s="2" t="s">
        <v>18</v>
      </c>
      <c r="E498" s="2" t="s">
        <v>25</v>
      </c>
      <c r="F498" s="2">
        <v>7</v>
      </c>
      <c r="G498" s="4">
        <v>35.770000000000003</v>
      </c>
      <c r="H498" s="5">
        <f t="shared" si="7"/>
        <v>250.39000000000001</v>
      </c>
    </row>
    <row r="499" spans="1:8" x14ac:dyDescent="0.3">
      <c r="A499" s="2">
        <v>1351</v>
      </c>
      <c r="B499" s="3">
        <v>45865</v>
      </c>
      <c r="C499" s="2" t="s">
        <v>15</v>
      </c>
      <c r="D499" s="2" t="s">
        <v>21</v>
      </c>
      <c r="E499" s="2" t="s">
        <v>23</v>
      </c>
      <c r="F499" s="2">
        <v>13</v>
      </c>
      <c r="G499" s="4">
        <v>53.51</v>
      </c>
      <c r="H499" s="5">
        <f t="shared" si="7"/>
        <v>695.63</v>
      </c>
    </row>
    <row r="500" spans="1:8" x14ac:dyDescent="0.3">
      <c r="A500" s="2">
        <v>1517</v>
      </c>
      <c r="B500" s="3">
        <v>45866</v>
      </c>
      <c r="C500" s="2" t="s">
        <v>12</v>
      </c>
      <c r="D500" s="2" t="s">
        <v>18</v>
      </c>
      <c r="E500" s="2" t="s">
        <v>14</v>
      </c>
      <c r="F500" s="2">
        <v>7</v>
      </c>
      <c r="G500" s="4">
        <v>62.48</v>
      </c>
      <c r="H500" s="5">
        <f t="shared" si="7"/>
        <v>437.35999999999996</v>
      </c>
    </row>
    <row r="501" spans="1:8" x14ac:dyDescent="0.3">
      <c r="A501" s="2">
        <v>1497</v>
      </c>
      <c r="B501" s="3">
        <v>45868</v>
      </c>
      <c r="C501" s="2" t="s">
        <v>15</v>
      </c>
      <c r="D501" s="2" t="s">
        <v>24</v>
      </c>
      <c r="E501" s="2" t="s">
        <v>23</v>
      </c>
      <c r="F501" s="2">
        <v>40</v>
      </c>
      <c r="G501" s="4">
        <v>199.48</v>
      </c>
      <c r="H501" s="5">
        <f t="shared" si="7"/>
        <v>7979.2</v>
      </c>
    </row>
    <row r="502" spans="1:8" x14ac:dyDescent="0.3">
      <c r="A502" s="2">
        <v>1470</v>
      </c>
      <c r="B502" s="3">
        <v>45869</v>
      </c>
      <c r="C502" s="2" t="s">
        <v>17</v>
      </c>
      <c r="D502" s="2" t="s">
        <v>24</v>
      </c>
      <c r="E502" s="2" t="s">
        <v>19</v>
      </c>
      <c r="F502" s="2">
        <v>32</v>
      </c>
      <c r="G502" s="4">
        <v>386.15</v>
      </c>
      <c r="H502" s="5">
        <f t="shared" si="7"/>
        <v>12356.8</v>
      </c>
    </row>
    <row r="503" spans="1:8" x14ac:dyDescent="0.3">
      <c r="A503" s="2">
        <v>1536</v>
      </c>
      <c r="B503" s="3">
        <v>45869</v>
      </c>
      <c r="C503" s="2" t="s">
        <v>17</v>
      </c>
      <c r="D503" s="2" t="s">
        <v>24</v>
      </c>
      <c r="E503" s="2" t="s">
        <v>19</v>
      </c>
      <c r="F503" s="2">
        <v>22</v>
      </c>
      <c r="G503" s="4">
        <v>276.47000000000003</v>
      </c>
      <c r="H503" s="5">
        <f t="shared" si="7"/>
        <v>6082.34</v>
      </c>
    </row>
    <row r="504" spans="1:8" x14ac:dyDescent="0.3">
      <c r="A504" s="2">
        <v>1185</v>
      </c>
      <c r="B504" s="3">
        <v>45870</v>
      </c>
      <c r="C504" s="2" t="s">
        <v>9</v>
      </c>
      <c r="D504" s="2" t="s">
        <v>24</v>
      </c>
      <c r="E504" s="2" t="s">
        <v>22</v>
      </c>
      <c r="F504" s="2">
        <v>11</v>
      </c>
      <c r="G504" s="4">
        <v>380.34</v>
      </c>
      <c r="H504" s="5">
        <f t="shared" si="7"/>
        <v>4183.74</v>
      </c>
    </row>
    <row r="505" spans="1:8" x14ac:dyDescent="0.3">
      <c r="A505" s="2">
        <v>1227</v>
      </c>
      <c r="B505" s="3">
        <v>45870</v>
      </c>
      <c r="C505" s="2" t="s">
        <v>9</v>
      </c>
      <c r="D505" s="2" t="s">
        <v>18</v>
      </c>
      <c r="E505" s="2" t="s">
        <v>11</v>
      </c>
      <c r="F505" s="2">
        <v>7</v>
      </c>
      <c r="G505" s="4">
        <v>17.02</v>
      </c>
      <c r="H505" s="5">
        <f t="shared" si="7"/>
        <v>119.14</v>
      </c>
    </row>
    <row r="506" spans="1:8" x14ac:dyDescent="0.3">
      <c r="A506" s="2">
        <v>1487</v>
      </c>
      <c r="B506" s="3">
        <v>45870</v>
      </c>
      <c r="C506" s="2" t="s">
        <v>15</v>
      </c>
      <c r="D506" s="2" t="s">
        <v>21</v>
      </c>
      <c r="E506" s="2" t="s">
        <v>16</v>
      </c>
      <c r="F506" s="2">
        <v>9</v>
      </c>
      <c r="G506" s="4">
        <v>105.34</v>
      </c>
      <c r="H506" s="5">
        <f t="shared" si="7"/>
        <v>948.06000000000006</v>
      </c>
    </row>
    <row r="507" spans="1:8" x14ac:dyDescent="0.3">
      <c r="A507" s="2">
        <v>1611</v>
      </c>
      <c r="B507" s="3">
        <v>45870</v>
      </c>
      <c r="C507" s="2" t="s">
        <v>17</v>
      </c>
      <c r="D507" s="2" t="s">
        <v>24</v>
      </c>
      <c r="E507" s="2" t="s">
        <v>19</v>
      </c>
      <c r="F507" s="2">
        <v>29</v>
      </c>
      <c r="G507" s="4">
        <v>150.30000000000001</v>
      </c>
      <c r="H507" s="5">
        <f t="shared" si="7"/>
        <v>4358.7000000000007</v>
      </c>
    </row>
    <row r="508" spans="1:8" x14ac:dyDescent="0.3">
      <c r="A508" s="2">
        <v>1237</v>
      </c>
      <c r="B508" s="3">
        <v>45871</v>
      </c>
      <c r="C508" s="2" t="s">
        <v>9</v>
      </c>
      <c r="D508" s="2" t="s">
        <v>24</v>
      </c>
      <c r="E508" s="2" t="s">
        <v>22</v>
      </c>
      <c r="F508" s="2">
        <v>1</v>
      </c>
      <c r="G508" s="4">
        <v>134.52000000000001</v>
      </c>
      <c r="H508" s="5">
        <f t="shared" si="7"/>
        <v>134.52000000000001</v>
      </c>
    </row>
    <row r="509" spans="1:8" x14ac:dyDescent="0.3">
      <c r="A509" s="2">
        <v>1417</v>
      </c>
      <c r="B509" s="3">
        <v>45872</v>
      </c>
      <c r="C509" s="2" t="s">
        <v>17</v>
      </c>
      <c r="D509" s="2" t="s">
        <v>10</v>
      </c>
      <c r="E509" s="2" t="s">
        <v>20</v>
      </c>
      <c r="F509" s="2">
        <v>27</v>
      </c>
      <c r="G509" s="4">
        <v>38.72</v>
      </c>
      <c r="H509" s="5">
        <f t="shared" si="7"/>
        <v>1045.44</v>
      </c>
    </row>
    <row r="510" spans="1:8" x14ac:dyDescent="0.3">
      <c r="A510" s="2">
        <v>1477</v>
      </c>
      <c r="B510" s="3">
        <v>45872</v>
      </c>
      <c r="C510" s="2" t="s">
        <v>15</v>
      </c>
      <c r="D510" s="2" t="s">
        <v>24</v>
      </c>
      <c r="E510" s="2" t="s">
        <v>23</v>
      </c>
      <c r="F510" s="2">
        <v>32</v>
      </c>
      <c r="G510" s="4">
        <v>238.2</v>
      </c>
      <c r="H510" s="5">
        <f t="shared" si="7"/>
        <v>7622.4</v>
      </c>
    </row>
    <row r="511" spans="1:8" x14ac:dyDescent="0.3">
      <c r="A511" s="2">
        <v>1090</v>
      </c>
      <c r="B511" s="3">
        <v>45874</v>
      </c>
      <c r="C511" s="2" t="s">
        <v>12</v>
      </c>
      <c r="D511" s="2" t="s">
        <v>10</v>
      </c>
      <c r="E511" s="2" t="s">
        <v>25</v>
      </c>
      <c r="F511" s="2">
        <v>3</v>
      </c>
      <c r="G511" s="4">
        <v>14.25</v>
      </c>
      <c r="H511" s="5">
        <f t="shared" si="7"/>
        <v>42.75</v>
      </c>
    </row>
    <row r="512" spans="1:8" x14ac:dyDescent="0.3">
      <c r="A512" s="2">
        <v>1307</v>
      </c>
      <c r="B512" s="3">
        <v>45874</v>
      </c>
      <c r="C512" s="2" t="s">
        <v>9</v>
      </c>
      <c r="D512" s="2" t="s">
        <v>13</v>
      </c>
      <c r="E512" s="2" t="s">
        <v>11</v>
      </c>
      <c r="F512" s="2">
        <v>24</v>
      </c>
      <c r="G512" s="4">
        <v>186.49</v>
      </c>
      <c r="H512" s="5">
        <f t="shared" si="7"/>
        <v>4475.76</v>
      </c>
    </row>
    <row r="513" spans="1:8" x14ac:dyDescent="0.3">
      <c r="A513" s="2">
        <v>1523</v>
      </c>
      <c r="B513" s="3">
        <v>45874</v>
      </c>
      <c r="C513" s="2" t="s">
        <v>17</v>
      </c>
      <c r="D513" s="2" t="s">
        <v>18</v>
      </c>
      <c r="E513" s="2" t="s">
        <v>20</v>
      </c>
      <c r="F513" s="2">
        <v>20</v>
      </c>
      <c r="G513" s="4">
        <v>25.79</v>
      </c>
      <c r="H513" s="5">
        <f t="shared" si="7"/>
        <v>515.79999999999995</v>
      </c>
    </row>
    <row r="514" spans="1:8" x14ac:dyDescent="0.3">
      <c r="A514" s="2">
        <v>1409</v>
      </c>
      <c r="B514" s="3">
        <v>45879</v>
      </c>
      <c r="C514" s="2" t="s">
        <v>9</v>
      </c>
      <c r="D514" s="2" t="s">
        <v>18</v>
      </c>
      <c r="E514" s="2" t="s">
        <v>22</v>
      </c>
      <c r="F514" s="2">
        <v>29</v>
      </c>
      <c r="G514" s="4">
        <v>51.5</v>
      </c>
      <c r="H514" s="5">
        <f t="shared" ref="H514:H577" si="8">F514*G514</f>
        <v>1493.5</v>
      </c>
    </row>
    <row r="515" spans="1:8" x14ac:dyDescent="0.3">
      <c r="A515" s="2">
        <v>1363</v>
      </c>
      <c r="B515" s="3">
        <v>45880</v>
      </c>
      <c r="C515" s="2" t="s">
        <v>12</v>
      </c>
      <c r="D515" s="2" t="s">
        <v>21</v>
      </c>
      <c r="E515" s="2" t="s">
        <v>14</v>
      </c>
      <c r="F515" s="2">
        <v>5</v>
      </c>
      <c r="G515" s="4">
        <v>145.94</v>
      </c>
      <c r="H515" s="5">
        <f t="shared" si="8"/>
        <v>729.7</v>
      </c>
    </row>
    <row r="516" spans="1:8" x14ac:dyDescent="0.3">
      <c r="A516" s="2">
        <v>1365</v>
      </c>
      <c r="B516" s="3">
        <v>45882</v>
      </c>
      <c r="C516" s="2" t="s">
        <v>12</v>
      </c>
      <c r="D516" s="2" t="s">
        <v>21</v>
      </c>
      <c r="E516" s="2" t="s">
        <v>25</v>
      </c>
      <c r="F516" s="2">
        <v>32</v>
      </c>
      <c r="G516" s="4">
        <v>144.03</v>
      </c>
      <c r="H516" s="5">
        <f t="shared" si="8"/>
        <v>4608.96</v>
      </c>
    </row>
    <row r="517" spans="1:8" x14ac:dyDescent="0.3">
      <c r="A517" s="2">
        <v>1178</v>
      </c>
      <c r="B517" s="3">
        <v>45883</v>
      </c>
      <c r="C517" s="2" t="s">
        <v>17</v>
      </c>
      <c r="D517" s="2" t="s">
        <v>13</v>
      </c>
      <c r="E517" s="2" t="s">
        <v>20</v>
      </c>
      <c r="F517" s="2">
        <v>4</v>
      </c>
      <c r="G517" s="4">
        <v>47.75</v>
      </c>
      <c r="H517" s="5">
        <f t="shared" si="8"/>
        <v>191</v>
      </c>
    </row>
    <row r="518" spans="1:8" x14ac:dyDescent="0.3">
      <c r="A518" s="2">
        <v>1386</v>
      </c>
      <c r="B518" s="3">
        <v>45883</v>
      </c>
      <c r="C518" s="2" t="s">
        <v>17</v>
      </c>
      <c r="D518" s="2" t="s">
        <v>21</v>
      </c>
      <c r="E518" s="2" t="s">
        <v>20</v>
      </c>
      <c r="F518" s="2">
        <v>35</v>
      </c>
      <c r="G518" s="4">
        <v>115.67</v>
      </c>
      <c r="H518" s="5">
        <f t="shared" si="8"/>
        <v>4048.4500000000003</v>
      </c>
    </row>
    <row r="519" spans="1:8" x14ac:dyDescent="0.3">
      <c r="A519" s="2">
        <v>1627</v>
      </c>
      <c r="B519" s="3">
        <v>45884</v>
      </c>
      <c r="C519" s="2" t="s">
        <v>17</v>
      </c>
      <c r="D519" s="2" t="s">
        <v>24</v>
      </c>
      <c r="E519" s="2" t="s">
        <v>20</v>
      </c>
      <c r="F519" s="2">
        <v>23</v>
      </c>
      <c r="G519" s="4">
        <v>389.55</v>
      </c>
      <c r="H519" s="5">
        <f t="shared" si="8"/>
        <v>8959.65</v>
      </c>
    </row>
    <row r="520" spans="1:8" x14ac:dyDescent="0.3">
      <c r="A520" s="2">
        <v>1247</v>
      </c>
      <c r="B520" s="3">
        <v>45885</v>
      </c>
      <c r="C520" s="2" t="s">
        <v>9</v>
      </c>
      <c r="D520" s="2" t="s">
        <v>18</v>
      </c>
      <c r="E520" s="2" t="s">
        <v>22</v>
      </c>
      <c r="F520" s="2">
        <v>16</v>
      </c>
      <c r="G520" s="4">
        <v>49.65</v>
      </c>
      <c r="H520" s="5">
        <f t="shared" si="8"/>
        <v>794.4</v>
      </c>
    </row>
    <row r="521" spans="1:8" x14ac:dyDescent="0.3">
      <c r="A521" s="2">
        <v>1514</v>
      </c>
      <c r="B521" s="3">
        <v>45885</v>
      </c>
      <c r="C521" s="2" t="s">
        <v>15</v>
      </c>
      <c r="D521" s="2" t="s">
        <v>21</v>
      </c>
      <c r="E521" s="2" t="s">
        <v>23</v>
      </c>
      <c r="F521" s="2">
        <v>30</v>
      </c>
      <c r="G521" s="4">
        <v>22.67</v>
      </c>
      <c r="H521" s="5">
        <f t="shared" si="8"/>
        <v>680.1</v>
      </c>
    </row>
    <row r="522" spans="1:8" x14ac:dyDescent="0.3">
      <c r="A522" s="2">
        <v>1267</v>
      </c>
      <c r="B522" s="3">
        <v>45886</v>
      </c>
      <c r="C522" s="2" t="s">
        <v>17</v>
      </c>
      <c r="D522" s="2" t="s">
        <v>24</v>
      </c>
      <c r="E522" s="2" t="s">
        <v>20</v>
      </c>
      <c r="F522" s="2">
        <v>26</v>
      </c>
      <c r="G522" s="4">
        <v>177.12</v>
      </c>
      <c r="H522" s="5">
        <f t="shared" si="8"/>
        <v>4605.12</v>
      </c>
    </row>
    <row r="523" spans="1:8" x14ac:dyDescent="0.3">
      <c r="A523" s="2">
        <v>1130</v>
      </c>
      <c r="B523" s="3">
        <v>45888</v>
      </c>
      <c r="C523" s="2" t="s">
        <v>9</v>
      </c>
      <c r="D523" s="2" t="s">
        <v>13</v>
      </c>
      <c r="E523" s="2" t="s">
        <v>22</v>
      </c>
      <c r="F523" s="2">
        <v>39</v>
      </c>
      <c r="G523" s="4">
        <v>64.13</v>
      </c>
      <c r="H523" s="5">
        <f t="shared" si="8"/>
        <v>2501.0699999999997</v>
      </c>
    </row>
    <row r="524" spans="1:8" x14ac:dyDescent="0.3">
      <c r="A524" s="2">
        <v>1423</v>
      </c>
      <c r="B524" s="3">
        <v>45888</v>
      </c>
      <c r="C524" s="2" t="s">
        <v>12</v>
      </c>
      <c r="D524" s="2" t="s">
        <v>21</v>
      </c>
      <c r="E524" s="2" t="s">
        <v>25</v>
      </c>
      <c r="F524" s="2">
        <v>25</v>
      </c>
      <c r="G524" s="4">
        <v>78.48</v>
      </c>
      <c r="H524" s="5">
        <f t="shared" si="8"/>
        <v>1962</v>
      </c>
    </row>
    <row r="525" spans="1:8" x14ac:dyDescent="0.3">
      <c r="A525" s="2">
        <v>1525</v>
      </c>
      <c r="B525" s="3">
        <v>45890</v>
      </c>
      <c r="C525" s="2" t="s">
        <v>9</v>
      </c>
      <c r="D525" s="2" t="s">
        <v>21</v>
      </c>
      <c r="E525" s="2" t="s">
        <v>22</v>
      </c>
      <c r="F525" s="2">
        <v>23</v>
      </c>
      <c r="G525" s="4">
        <v>148.37</v>
      </c>
      <c r="H525" s="5">
        <f t="shared" si="8"/>
        <v>3412.51</v>
      </c>
    </row>
    <row r="526" spans="1:8" x14ac:dyDescent="0.3">
      <c r="A526" s="2">
        <v>1087</v>
      </c>
      <c r="B526" s="3">
        <v>45891</v>
      </c>
      <c r="C526" s="2" t="s">
        <v>9</v>
      </c>
      <c r="D526" s="2" t="s">
        <v>10</v>
      </c>
      <c r="E526" s="2" t="s">
        <v>22</v>
      </c>
      <c r="F526" s="2">
        <v>32</v>
      </c>
      <c r="G526" s="4">
        <v>48.22</v>
      </c>
      <c r="H526" s="5">
        <f t="shared" si="8"/>
        <v>1543.04</v>
      </c>
    </row>
    <row r="527" spans="1:8" x14ac:dyDescent="0.3">
      <c r="A527" s="2">
        <v>1398</v>
      </c>
      <c r="B527" s="3">
        <v>45891</v>
      </c>
      <c r="C527" s="2" t="s">
        <v>12</v>
      </c>
      <c r="D527" s="2" t="s">
        <v>13</v>
      </c>
      <c r="E527" s="2" t="s">
        <v>14</v>
      </c>
      <c r="F527" s="2">
        <v>37</v>
      </c>
      <c r="G527" s="4">
        <v>193.48</v>
      </c>
      <c r="H527" s="5">
        <f t="shared" si="8"/>
        <v>7158.7599999999993</v>
      </c>
    </row>
    <row r="528" spans="1:8" x14ac:dyDescent="0.3">
      <c r="A528" s="2">
        <v>1318</v>
      </c>
      <c r="B528" s="3">
        <v>45892</v>
      </c>
      <c r="C528" s="2" t="s">
        <v>12</v>
      </c>
      <c r="D528" s="2" t="s">
        <v>21</v>
      </c>
      <c r="E528" s="2" t="s">
        <v>25</v>
      </c>
      <c r="F528" s="2">
        <v>37</v>
      </c>
      <c r="G528" s="4">
        <v>125.53</v>
      </c>
      <c r="H528" s="5">
        <f t="shared" si="8"/>
        <v>4644.6099999999997</v>
      </c>
    </row>
    <row r="529" spans="1:8" x14ac:dyDescent="0.3">
      <c r="A529" s="2">
        <v>1322</v>
      </c>
      <c r="B529" s="3">
        <v>45892</v>
      </c>
      <c r="C529" s="2" t="s">
        <v>12</v>
      </c>
      <c r="D529" s="2" t="s">
        <v>13</v>
      </c>
      <c r="E529" s="2" t="s">
        <v>14</v>
      </c>
      <c r="F529" s="2">
        <v>35</v>
      </c>
      <c r="G529" s="4">
        <v>119.6</v>
      </c>
      <c r="H529" s="5">
        <f t="shared" si="8"/>
        <v>4186</v>
      </c>
    </row>
    <row r="530" spans="1:8" x14ac:dyDescent="0.3">
      <c r="A530" s="2">
        <v>1230</v>
      </c>
      <c r="B530" s="3">
        <v>45896</v>
      </c>
      <c r="C530" s="2" t="s">
        <v>17</v>
      </c>
      <c r="D530" s="2" t="s">
        <v>18</v>
      </c>
      <c r="E530" s="2" t="s">
        <v>20</v>
      </c>
      <c r="F530" s="2">
        <v>25</v>
      </c>
      <c r="G530" s="4">
        <v>80.98</v>
      </c>
      <c r="H530" s="5">
        <f t="shared" si="8"/>
        <v>2024.5</v>
      </c>
    </row>
    <row r="531" spans="1:8" x14ac:dyDescent="0.3">
      <c r="A531" s="2">
        <v>1439</v>
      </c>
      <c r="B531" s="3">
        <v>45902</v>
      </c>
      <c r="C531" s="2" t="s">
        <v>15</v>
      </c>
      <c r="D531" s="2" t="s">
        <v>10</v>
      </c>
      <c r="E531" s="2" t="s">
        <v>16</v>
      </c>
      <c r="F531" s="2">
        <v>26</v>
      </c>
      <c r="G531" s="4">
        <v>36.729999999999997</v>
      </c>
      <c r="H531" s="5">
        <f t="shared" si="8"/>
        <v>954.9799999999999</v>
      </c>
    </row>
    <row r="532" spans="1:8" x14ac:dyDescent="0.3">
      <c r="A532" s="2">
        <v>1626</v>
      </c>
      <c r="B532" s="3">
        <v>45904</v>
      </c>
      <c r="C532" s="2" t="s">
        <v>12</v>
      </c>
      <c r="D532" s="2" t="s">
        <v>18</v>
      </c>
      <c r="E532" s="2" t="s">
        <v>25</v>
      </c>
      <c r="F532" s="2">
        <v>15</v>
      </c>
      <c r="G532" s="4">
        <v>50.28</v>
      </c>
      <c r="H532" s="5">
        <f t="shared" si="8"/>
        <v>754.2</v>
      </c>
    </row>
    <row r="533" spans="1:8" x14ac:dyDescent="0.3">
      <c r="A533" s="2">
        <v>1170</v>
      </c>
      <c r="B533" s="3">
        <v>45905</v>
      </c>
      <c r="C533" s="2" t="s">
        <v>9</v>
      </c>
      <c r="D533" s="2" t="s">
        <v>24</v>
      </c>
      <c r="E533" s="2" t="s">
        <v>22</v>
      </c>
      <c r="F533" s="2">
        <v>24</v>
      </c>
      <c r="G533" s="4">
        <v>210.88</v>
      </c>
      <c r="H533" s="5">
        <f t="shared" si="8"/>
        <v>5061.12</v>
      </c>
    </row>
    <row r="534" spans="1:8" x14ac:dyDescent="0.3">
      <c r="A534" s="2">
        <v>1418</v>
      </c>
      <c r="B534" s="3">
        <v>45908</v>
      </c>
      <c r="C534" s="2" t="s">
        <v>12</v>
      </c>
      <c r="D534" s="2" t="s">
        <v>18</v>
      </c>
      <c r="E534" s="2" t="s">
        <v>25</v>
      </c>
      <c r="F534" s="2">
        <v>33</v>
      </c>
      <c r="G534" s="4">
        <v>53.88</v>
      </c>
      <c r="H534" s="5">
        <f t="shared" si="8"/>
        <v>1778.0400000000002</v>
      </c>
    </row>
    <row r="535" spans="1:8" x14ac:dyDescent="0.3">
      <c r="A535" s="2">
        <v>1103</v>
      </c>
      <c r="B535" s="3">
        <v>45909</v>
      </c>
      <c r="C535" s="2" t="s">
        <v>17</v>
      </c>
      <c r="D535" s="2" t="s">
        <v>24</v>
      </c>
      <c r="E535" s="2" t="s">
        <v>19</v>
      </c>
      <c r="F535" s="2">
        <v>32</v>
      </c>
      <c r="G535" s="4">
        <v>154.04</v>
      </c>
      <c r="H535" s="5">
        <f t="shared" si="8"/>
        <v>4929.28</v>
      </c>
    </row>
    <row r="536" spans="1:8" x14ac:dyDescent="0.3">
      <c r="A536" s="2">
        <v>1374</v>
      </c>
      <c r="B536" s="3">
        <v>45909</v>
      </c>
      <c r="C536" s="2" t="s">
        <v>12</v>
      </c>
      <c r="D536" s="2" t="s">
        <v>13</v>
      </c>
      <c r="E536" s="2" t="s">
        <v>25</v>
      </c>
      <c r="F536" s="2">
        <v>22</v>
      </c>
      <c r="G536" s="4">
        <v>160.96</v>
      </c>
      <c r="H536" s="5">
        <f t="shared" si="8"/>
        <v>3541.1200000000003</v>
      </c>
    </row>
    <row r="537" spans="1:8" x14ac:dyDescent="0.3">
      <c r="A537" s="2">
        <v>1529</v>
      </c>
      <c r="B537" s="3">
        <v>45909</v>
      </c>
      <c r="C537" s="2" t="s">
        <v>17</v>
      </c>
      <c r="D537" s="2" t="s">
        <v>10</v>
      </c>
      <c r="E537" s="2" t="s">
        <v>20</v>
      </c>
      <c r="F537" s="2">
        <v>4</v>
      </c>
      <c r="G537" s="4">
        <v>19.84</v>
      </c>
      <c r="H537" s="5">
        <f t="shared" si="8"/>
        <v>79.36</v>
      </c>
    </row>
    <row r="538" spans="1:8" x14ac:dyDescent="0.3">
      <c r="A538" s="2">
        <v>1503</v>
      </c>
      <c r="B538" s="3">
        <v>45910</v>
      </c>
      <c r="C538" s="2" t="s">
        <v>17</v>
      </c>
      <c r="D538" s="2" t="s">
        <v>24</v>
      </c>
      <c r="E538" s="2" t="s">
        <v>19</v>
      </c>
      <c r="F538" s="2">
        <v>39</v>
      </c>
      <c r="G538" s="4">
        <v>255.63</v>
      </c>
      <c r="H538" s="5">
        <f t="shared" si="8"/>
        <v>9969.57</v>
      </c>
    </row>
    <row r="539" spans="1:8" x14ac:dyDescent="0.3">
      <c r="A539" s="2">
        <v>1150</v>
      </c>
      <c r="B539" s="3">
        <v>45912</v>
      </c>
      <c r="C539" s="2" t="s">
        <v>17</v>
      </c>
      <c r="D539" s="2" t="s">
        <v>21</v>
      </c>
      <c r="E539" s="2" t="s">
        <v>19</v>
      </c>
      <c r="F539" s="2">
        <v>40</v>
      </c>
      <c r="G539" s="4">
        <v>63.55</v>
      </c>
      <c r="H539" s="5">
        <f t="shared" si="8"/>
        <v>2542</v>
      </c>
    </row>
    <row r="540" spans="1:8" x14ac:dyDescent="0.3">
      <c r="A540" s="2">
        <v>1393</v>
      </c>
      <c r="B540" s="3">
        <v>45912</v>
      </c>
      <c r="C540" s="2" t="s">
        <v>17</v>
      </c>
      <c r="D540" s="2" t="s">
        <v>13</v>
      </c>
      <c r="E540" s="2" t="s">
        <v>20</v>
      </c>
      <c r="F540" s="2">
        <v>29</v>
      </c>
      <c r="G540" s="4">
        <v>115.47</v>
      </c>
      <c r="H540" s="5">
        <f t="shared" si="8"/>
        <v>3348.63</v>
      </c>
    </row>
    <row r="541" spans="1:8" x14ac:dyDescent="0.3">
      <c r="A541" s="2">
        <v>1440</v>
      </c>
      <c r="B541" s="3">
        <v>45914</v>
      </c>
      <c r="C541" s="2" t="s">
        <v>9</v>
      </c>
      <c r="D541" s="2" t="s">
        <v>18</v>
      </c>
      <c r="E541" s="2" t="s">
        <v>11</v>
      </c>
      <c r="F541" s="2">
        <v>6</v>
      </c>
      <c r="G541" s="4">
        <v>65.84</v>
      </c>
      <c r="H541" s="5">
        <f t="shared" si="8"/>
        <v>395.04</v>
      </c>
    </row>
    <row r="542" spans="1:8" x14ac:dyDescent="0.3">
      <c r="A542" s="2">
        <v>1050</v>
      </c>
      <c r="B542" s="3">
        <v>45915</v>
      </c>
      <c r="C542" s="2" t="s">
        <v>12</v>
      </c>
      <c r="D542" s="2" t="s">
        <v>18</v>
      </c>
      <c r="E542" s="2" t="s">
        <v>25</v>
      </c>
      <c r="F542" s="2">
        <v>40</v>
      </c>
      <c r="G542" s="4">
        <v>25.62</v>
      </c>
      <c r="H542" s="5">
        <f t="shared" si="8"/>
        <v>1024.8</v>
      </c>
    </row>
    <row r="543" spans="1:8" x14ac:dyDescent="0.3">
      <c r="A543" s="2">
        <v>1296</v>
      </c>
      <c r="B543" s="3">
        <v>45915</v>
      </c>
      <c r="C543" s="2" t="s">
        <v>12</v>
      </c>
      <c r="D543" s="2" t="s">
        <v>10</v>
      </c>
      <c r="E543" s="2" t="s">
        <v>14</v>
      </c>
      <c r="F543" s="2">
        <v>39</v>
      </c>
      <c r="G543" s="4">
        <v>40.83</v>
      </c>
      <c r="H543" s="5">
        <f t="shared" si="8"/>
        <v>1592.37</v>
      </c>
    </row>
    <row r="544" spans="1:8" x14ac:dyDescent="0.3">
      <c r="A544" s="2">
        <v>1331</v>
      </c>
      <c r="B544" s="3">
        <v>45915</v>
      </c>
      <c r="C544" s="2" t="s">
        <v>9</v>
      </c>
      <c r="D544" s="2" t="s">
        <v>21</v>
      </c>
      <c r="E544" s="2" t="s">
        <v>11</v>
      </c>
      <c r="F544" s="2">
        <v>12</v>
      </c>
      <c r="G544" s="4">
        <v>64.05</v>
      </c>
      <c r="H544" s="5">
        <f t="shared" si="8"/>
        <v>768.59999999999991</v>
      </c>
    </row>
    <row r="545" spans="1:8" x14ac:dyDescent="0.3">
      <c r="A545" s="2">
        <v>1358</v>
      </c>
      <c r="B545" s="3">
        <v>45915</v>
      </c>
      <c r="C545" s="2" t="s">
        <v>15</v>
      </c>
      <c r="D545" s="2" t="s">
        <v>21</v>
      </c>
      <c r="E545" s="2" t="s">
        <v>23</v>
      </c>
      <c r="F545" s="2">
        <v>40</v>
      </c>
      <c r="G545" s="4">
        <v>46.78</v>
      </c>
      <c r="H545" s="5">
        <f t="shared" si="8"/>
        <v>1871.2</v>
      </c>
    </row>
    <row r="546" spans="1:8" x14ac:dyDescent="0.3">
      <c r="A546" s="2">
        <v>1515</v>
      </c>
      <c r="B546" s="3">
        <v>45915</v>
      </c>
      <c r="C546" s="2" t="s">
        <v>12</v>
      </c>
      <c r="D546" s="2" t="s">
        <v>18</v>
      </c>
      <c r="E546" s="2" t="s">
        <v>25</v>
      </c>
      <c r="F546" s="2">
        <v>18</v>
      </c>
      <c r="G546" s="4">
        <v>35.450000000000003</v>
      </c>
      <c r="H546" s="5">
        <f t="shared" si="8"/>
        <v>638.1</v>
      </c>
    </row>
    <row r="547" spans="1:8" x14ac:dyDescent="0.3">
      <c r="A547" s="2">
        <v>1039</v>
      </c>
      <c r="B547" s="3">
        <v>45916</v>
      </c>
      <c r="C547" s="2" t="s">
        <v>12</v>
      </c>
      <c r="D547" s="2" t="s">
        <v>13</v>
      </c>
      <c r="E547" s="2" t="s">
        <v>14</v>
      </c>
      <c r="F547" s="2">
        <v>6</v>
      </c>
      <c r="G547" s="4">
        <v>164.94</v>
      </c>
      <c r="H547" s="5">
        <f t="shared" si="8"/>
        <v>989.64</v>
      </c>
    </row>
    <row r="548" spans="1:8" x14ac:dyDescent="0.3">
      <c r="A548" s="2">
        <v>1396</v>
      </c>
      <c r="B548" s="3">
        <v>45917</v>
      </c>
      <c r="C548" s="2" t="s">
        <v>17</v>
      </c>
      <c r="D548" s="2" t="s">
        <v>10</v>
      </c>
      <c r="E548" s="2" t="s">
        <v>20</v>
      </c>
      <c r="F548" s="2">
        <v>31</v>
      </c>
      <c r="G548" s="4">
        <v>46.94</v>
      </c>
      <c r="H548" s="5">
        <f t="shared" si="8"/>
        <v>1455.1399999999999</v>
      </c>
    </row>
    <row r="549" spans="1:8" x14ac:dyDescent="0.3">
      <c r="A549" s="2">
        <v>1199</v>
      </c>
      <c r="B549" s="3">
        <v>45922</v>
      </c>
      <c r="C549" s="2" t="s">
        <v>9</v>
      </c>
      <c r="D549" s="2" t="s">
        <v>21</v>
      </c>
      <c r="E549" s="2" t="s">
        <v>22</v>
      </c>
      <c r="F549" s="2">
        <v>12</v>
      </c>
      <c r="G549" s="4">
        <v>24.79</v>
      </c>
      <c r="H549" s="5">
        <f t="shared" si="8"/>
        <v>297.48</v>
      </c>
    </row>
    <row r="550" spans="1:8" x14ac:dyDescent="0.3">
      <c r="A550" s="2">
        <v>1024</v>
      </c>
      <c r="B550" s="3">
        <v>45924</v>
      </c>
      <c r="C550" s="2" t="s">
        <v>12</v>
      </c>
      <c r="D550" s="2" t="s">
        <v>13</v>
      </c>
      <c r="E550" s="2" t="s">
        <v>14</v>
      </c>
      <c r="F550" s="2">
        <v>26</v>
      </c>
      <c r="G550" s="4">
        <v>94.66</v>
      </c>
      <c r="H550" s="5">
        <f t="shared" si="8"/>
        <v>2461.16</v>
      </c>
    </row>
    <row r="551" spans="1:8" x14ac:dyDescent="0.3">
      <c r="A551" s="2">
        <v>1590</v>
      </c>
      <c r="B551" s="3">
        <v>45924</v>
      </c>
      <c r="C551" s="2" t="s">
        <v>17</v>
      </c>
      <c r="D551" s="2" t="s">
        <v>24</v>
      </c>
      <c r="E551" s="2" t="s">
        <v>19</v>
      </c>
      <c r="F551" s="2">
        <v>3</v>
      </c>
      <c r="G551" s="4">
        <v>200.23</v>
      </c>
      <c r="H551" s="5">
        <f t="shared" si="8"/>
        <v>600.68999999999994</v>
      </c>
    </row>
    <row r="552" spans="1:8" x14ac:dyDescent="0.3">
      <c r="A552" s="2">
        <v>1190</v>
      </c>
      <c r="B552" s="3">
        <v>45925</v>
      </c>
      <c r="C552" s="2" t="s">
        <v>15</v>
      </c>
      <c r="D552" s="2" t="s">
        <v>13</v>
      </c>
      <c r="E552" s="2" t="s">
        <v>23</v>
      </c>
      <c r="F552" s="2">
        <v>40</v>
      </c>
      <c r="G552" s="4">
        <v>103.19</v>
      </c>
      <c r="H552" s="5">
        <f t="shared" si="8"/>
        <v>4127.6000000000004</v>
      </c>
    </row>
    <row r="553" spans="1:8" x14ac:dyDescent="0.3">
      <c r="A553" s="2">
        <v>1486</v>
      </c>
      <c r="B553" s="3">
        <v>45926</v>
      </c>
      <c r="C553" s="2" t="s">
        <v>12</v>
      </c>
      <c r="D553" s="2" t="s">
        <v>24</v>
      </c>
      <c r="E553" s="2" t="s">
        <v>14</v>
      </c>
      <c r="F553" s="2">
        <v>20</v>
      </c>
      <c r="G553" s="4">
        <v>274.93</v>
      </c>
      <c r="H553" s="5">
        <f t="shared" si="8"/>
        <v>5498.6</v>
      </c>
    </row>
    <row r="554" spans="1:8" x14ac:dyDescent="0.3">
      <c r="A554" s="2">
        <v>1184</v>
      </c>
      <c r="B554" s="3">
        <v>45927</v>
      </c>
      <c r="C554" s="2" t="s">
        <v>15</v>
      </c>
      <c r="D554" s="2" t="s">
        <v>10</v>
      </c>
      <c r="E554" s="2" t="s">
        <v>23</v>
      </c>
      <c r="F554" s="2">
        <v>12</v>
      </c>
      <c r="G554" s="4">
        <v>51.46</v>
      </c>
      <c r="H554" s="5">
        <f t="shared" si="8"/>
        <v>617.52</v>
      </c>
    </row>
    <row r="555" spans="1:8" x14ac:dyDescent="0.3">
      <c r="A555" s="2">
        <v>1071</v>
      </c>
      <c r="B555" s="3">
        <v>45928</v>
      </c>
      <c r="C555" s="2" t="s">
        <v>9</v>
      </c>
      <c r="D555" s="2" t="s">
        <v>24</v>
      </c>
      <c r="E555" s="2" t="s">
        <v>11</v>
      </c>
      <c r="F555" s="2">
        <v>11</v>
      </c>
      <c r="G555" s="4">
        <v>380.2</v>
      </c>
      <c r="H555" s="5">
        <f t="shared" si="8"/>
        <v>4182.2</v>
      </c>
    </row>
    <row r="556" spans="1:8" x14ac:dyDescent="0.3">
      <c r="A556" s="2">
        <v>1097</v>
      </c>
      <c r="B556" s="3">
        <v>45928</v>
      </c>
      <c r="C556" s="2" t="s">
        <v>9</v>
      </c>
      <c r="D556" s="2" t="s">
        <v>24</v>
      </c>
      <c r="E556" s="2" t="s">
        <v>22</v>
      </c>
      <c r="F556" s="2">
        <v>18</v>
      </c>
      <c r="G556" s="4">
        <v>99.41</v>
      </c>
      <c r="H556" s="5">
        <f t="shared" si="8"/>
        <v>1789.3799999999999</v>
      </c>
    </row>
    <row r="557" spans="1:8" x14ac:dyDescent="0.3">
      <c r="A557" s="2">
        <v>1228</v>
      </c>
      <c r="B557" s="3">
        <v>45928</v>
      </c>
      <c r="C557" s="2" t="s">
        <v>9</v>
      </c>
      <c r="D557" s="2" t="s">
        <v>21</v>
      </c>
      <c r="E557" s="2" t="s">
        <v>11</v>
      </c>
      <c r="F557" s="2">
        <v>2</v>
      </c>
      <c r="G557" s="4">
        <v>111.1</v>
      </c>
      <c r="H557" s="5">
        <f t="shared" si="8"/>
        <v>222.2</v>
      </c>
    </row>
    <row r="558" spans="1:8" x14ac:dyDescent="0.3">
      <c r="A558" s="2">
        <v>1274</v>
      </c>
      <c r="B558" s="3">
        <v>45930</v>
      </c>
      <c r="C558" s="2" t="s">
        <v>12</v>
      </c>
      <c r="D558" s="2" t="s">
        <v>21</v>
      </c>
      <c r="E558" s="2" t="s">
        <v>25</v>
      </c>
      <c r="F558" s="2">
        <v>25</v>
      </c>
      <c r="G558" s="4">
        <v>140.72999999999999</v>
      </c>
      <c r="H558" s="5">
        <f t="shared" si="8"/>
        <v>3518.2499999999995</v>
      </c>
    </row>
    <row r="559" spans="1:8" x14ac:dyDescent="0.3">
      <c r="A559" s="2">
        <v>1410</v>
      </c>
      <c r="B559" s="3">
        <v>45931</v>
      </c>
      <c r="C559" s="2" t="s">
        <v>17</v>
      </c>
      <c r="D559" s="2" t="s">
        <v>10</v>
      </c>
      <c r="E559" s="2" t="s">
        <v>20</v>
      </c>
      <c r="F559" s="2">
        <v>21</v>
      </c>
      <c r="G559" s="4">
        <v>18.54</v>
      </c>
      <c r="H559" s="5">
        <f t="shared" si="8"/>
        <v>389.34</v>
      </c>
    </row>
    <row r="560" spans="1:8" x14ac:dyDescent="0.3">
      <c r="A560" s="2">
        <v>1288</v>
      </c>
      <c r="B560" s="3">
        <v>45932</v>
      </c>
      <c r="C560" s="2" t="s">
        <v>9</v>
      </c>
      <c r="D560" s="2" t="s">
        <v>21</v>
      </c>
      <c r="E560" s="2" t="s">
        <v>11</v>
      </c>
      <c r="F560" s="2">
        <v>24</v>
      </c>
      <c r="G560" s="4">
        <v>132.02000000000001</v>
      </c>
      <c r="H560" s="5">
        <f t="shared" si="8"/>
        <v>3168.4800000000005</v>
      </c>
    </row>
    <row r="561" spans="1:8" x14ac:dyDescent="0.3">
      <c r="A561" s="2">
        <v>1298</v>
      </c>
      <c r="B561" s="3">
        <v>45932</v>
      </c>
      <c r="C561" s="2" t="s">
        <v>9</v>
      </c>
      <c r="D561" s="2" t="s">
        <v>24</v>
      </c>
      <c r="E561" s="2" t="s">
        <v>11</v>
      </c>
      <c r="F561" s="2">
        <v>27</v>
      </c>
      <c r="G561" s="4">
        <v>358.15</v>
      </c>
      <c r="H561" s="5">
        <f t="shared" si="8"/>
        <v>9670.0499999999993</v>
      </c>
    </row>
    <row r="562" spans="1:8" x14ac:dyDescent="0.3">
      <c r="A562" s="2">
        <v>1305</v>
      </c>
      <c r="B562" s="3">
        <v>45933</v>
      </c>
      <c r="C562" s="2" t="s">
        <v>12</v>
      </c>
      <c r="D562" s="2" t="s">
        <v>13</v>
      </c>
      <c r="E562" s="2" t="s">
        <v>25</v>
      </c>
      <c r="F562" s="2">
        <v>8</v>
      </c>
      <c r="G562" s="4">
        <v>26.63</v>
      </c>
      <c r="H562" s="5">
        <f t="shared" si="8"/>
        <v>213.04</v>
      </c>
    </row>
    <row r="563" spans="1:8" x14ac:dyDescent="0.3">
      <c r="A563" s="2">
        <v>1603</v>
      </c>
      <c r="B563" s="3">
        <v>45933</v>
      </c>
      <c r="C563" s="2" t="s">
        <v>9</v>
      </c>
      <c r="D563" s="2" t="s">
        <v>21</v>
      </c>
      <c r="E563" s="2" t="s">
        <v>22</v>
      </c>
      <c r="F563" s="2">
        <v>1</v>
      </c>
      <c r="G563" s="4">
        <v>44.73</v>
      </c>
      <c r="H563" s="5">
        <f t="shared" si="8"/>
        <v>44.73</v>
      </c>
    </row>
    <row r="564" spans="1:8" x14ac:dyDescent="0.3">
      <c r="A564" s="2">
        <v>1089</v>
      </c>
      <c r="B564" s="3">
        <v>45934</v>
      </c>
      <c r="C564" s="2" t="s">
        <v>15</v>
      </c>
      <c r="D564" s="2" t="s">
        <v>10</v>
      </c>
      <c r="E564" s="2" t="s">
        <v>23</v>
      </c>
      <c r="F564" s="2">
        <v>33</v>
      </c>
      <c r="G564" s="4">
        <v>55.49</v>
      </c>
      <c r="H564" s="5">
        <f t="shared" si="8"/>
        <v>1831.17</v>
      </c>
    </row>
    <row r="565" spans="1:8" x14ac:dyDescent="0.3">
      <c r="A565" s="2">
        <v>1472</v>
      </c>
      <c r="B565" s="3">
        <v>45934</v>
      </c>
      <c r="C565" s="2" t="s">
        <v>17</v>
      </c>
      <c r="D565" s="2" t="s">
        <v>18</v>
      </c>
      <c r="E565" s="2" t="s">
        <v>20</v>
      </c>
      <c r="F565" s="2">
        <v>2</v>
      </c>
      <c r="G565" s="4">
        <v>25.4</v>
      </c>
      <c r="H565" s="5">
        <f t="shared" si="8"/>
        <v>50.8</v>
      </c>
    </row>
    <row r="566" spans="1:8" x14ac:dyDescent="0.3">
      <c r="A566" s="2">
        <v>1414</v>
      </c>
      <c r="B566" s="3">
        <v>45937</v>
      </c>
      <c r="C566" s="2" t="s">
        <v>12</v>
      </c>
      <c r="D566" s="2" t="s">
        <v>21</v>
      </c>
      <c r="E566" s="2" t="s">
        <v>25</v>
      </c>
      <c r="F566" s="2">
        <v>1</v>
      </c>
      <c r="G566" s="4">
        <v>109.93</v>
      </c>
      <c r="H566" s="5">
        <f t="shared" si="8"/>
        <v>109.93</v>
      </c>
    </row>
    <row r="567" spans="1:8" x14ac:dyDescent="0.3">
      <c r="A567" s="2">
        <v>1152</v>
      </c>
      <c r="B567" s="3">
        <v>45941</v>
      </c>
      <c r="C567" s="2" t="s">
        <v>12</v>
      </c>
      <c r="D567" s="2" t="s">
        <v>24</v>
      </c>
      <c r="E567" s="2" t="s">
        <v>25</v>
      </c>
      <c r="F567" s="2">
        <v>30</v>
      </c>
      <c r="G567" s="4">
        <v>114.32</v>
      </c>
      <c r="H567" s="5">
        <f t="shared" si="8"/>
        <v>3429.6</v>
      </c>
    </row>
    <row r="568" spans="1:8" x14ac:dyDescent="0.3">
      <c r="A568" s="2">
        <v>1232</v>
      </c>
      <c r="B568" s="3">
        <v>45941</v>
      </c>
      <c r="C568" s="2" t="s">
        <v>12</v>
      </c>
      <c r="D568" s="2" t="s">
        <v>21</v>
      </c>
      <c r="E568" s="2" t="s">
        <v>14</v>
      </c>
      <c r="F568" s="2">
        <v>7</v>
      </c>
      <c r="G568" s="4">
        <v>32.979999999999997</v>
      </c>
      <c r="H568" s="5">
        <f t="shared" si="8"/>
        <v>230.85999999999999</v>
      </c>
    </row>
    <row r="569" spans="1:8" x14ac:dyDescent="0.3">
      <c r="A569" s="2">
        <v>1110</v>
      </c>
      <c r="B569" s="3">
        <v>45942</v>
      </c>
      <c r="C569" s="2" t="s">
        <v>9</v>
      </c>
      <c r="D569" s="2" t="s">
        <v>18</v>
      </c>
      <c r="E569" s="2" t="s">
        <v>22</v>
      </c>
      <c r="F569" s="2">
        <v>21</v>
      </c>
      <c r="G569" s="4">
        <v>47.72</v>
      </c>
      <c r="H569" s="5">
        <f t="shared" si="8"/>
        <v>1002.12</v>
      </c>
    </row>
    <row r="570" spans="1:8" x14ac:dyDescent="0.3">
      <c r="A570" s="2">
        <v>1129</v>
      </c>
      <c r="B570" s="3">
        <v>45943</v>
      </c>
      <c r="C570" s="2" t="s">
        <v>15</v>
      </c>
      <c r="D570" s="2" t="s">
        <v>24</v>
      </c>
      <c r="E570" s="2" t="s">
        <v>23</v>
      </c>
      <c r="F570" s="2">
        <v>34</v>
      </c>
      <c r="G570" s="4">
        <v>102.51</v>
      </c>
      <c r="H570" s="5">
        <f t="shared" si="8"/>
        <v>3485.34</v>
      </c>
    </row>
    <row r="571" spans="1:8" x14ac:dyDescent="0.3">
      <c r="A571" s="2">
        <v>1183</v>
      </c>
      <c r="B571" s="3">
        <v>45943</v>
      </c>
      <c r="C571" s="2" t="s">
        <v>15</v>
      </c>
      <c r="D571" s="2" t="s">
        <v>24</v>
      </c>
      <c r="E571" s="2" t="s">
        <v>23</v>
      </c>
      <c r="F571" s="2">
        <v>15</v>
      </c>
      <c r="G571" s="4">
        <v>284.89999999999998</v>
      </c>
      <c r="H571" s="5">
        <f t="shared" si="8"/>
        <v>4273.5</v>
      </c>
    </row>
    <row r="572" spans="1:8" x14ac:dyDescent="0.3">
      <c r="A572" s="2">
        <v>1280</v>
      </c>
      <c r="B572" s="3">
        <v>45943</v>
      </c>
      <c r="C572" s="2" t="s">
        <v>17</v>
      </c>
      <c r="D572" s="2" t="s">
        <v>18</v>
      </c>
      <c r="E572" s="2" t="s">
        <v>19</v>
      </c>
      <c r="F572" s="2">
        <v>34</v>
      </c>
      <c r="G572" s="4">
        <v>66.959999999999994</v>
      </c>
      <c r="H572" s="5">
        <f t="shared" si="8"/>
        <v>2276.64</v>
      </c>
    </row>
    <row r="573" spans="1:8" x14ac:dyDescent="0.3">
      <c r="A573" s="2">
        <v>1369</v>
      </c>
      <c r="B573" s="3">
        <v>45944</v>
      </c>
      <c r="C573" s="2" t="s">
        <v>15</v>
      </c>
      <c r="D573" s="2" t="s">
        <v>10</v>
      </c>
      <c r="E573" s="2" t="s">
        <v>23</v>
      </c>
      <c r="F573" s="2">
        <v>7</v>
      </c>
      <c r="G573" s="4">
        <v>45.13</v>
      </c>
      <c r="H573" s="5">
        <f t="shared" si="8"/>
        <v>315.91000000000003</v>
      </c>
    </row>
    <row r="574" spans="1:8" x14ac:dyDescent="0.3">
      <c r="A574" s="2">
        <v>1459</v>
      </c>
      <c r="B574" s="3">
        <v>45944</v>
      </c>
      <c r="C574" s="2" t="s">
        <v>9</v>
      </c>
      <c r="D574" s="2" t="s">
        <v>10</v>
      </c>
      <c r="E574" s="2" t="s">
        <v>22</v>
      </c>
      <c r="F574" s="2">
        <v>4</v>
      </c>
      <c r="G574" s="4">
        <v>22.48</v>
      </c>
      <c r="H574" s="5">
        <f t="shared" si="8"/>
        <v>89.92</v>
      </c>
    </row>
    <row r="575" spans="1:8" x14ac:dyDescent="0.3">
      <c r="A575" s="2">
        <v>1532</v>
      </c>
      <c r="B575" s="3">
        <v>45947</v>
      </c>
      <c r="C575" s="2" t="s">
        <v>17</v>
      </c>
      <c r="D575" s="2" t="s">
        <v>24</v>
      </c>
      <c r="E575" s="2" t="s">
        <v>20</v>
      </c>
      <c r="F575" s="2">
        <v>2</v>
      </c>
      <c r="G575" s="4">
        <v>182.9</v>
      </c>
      <c r="H575" s="5">
        <f t="shared" si="8"/>
        <v>365.8</v>
      </c>
    </row>
    <row r="576" spans="1:8" x14ac:dyDescent="0.3">
      <c r="A576" s="2">
        <v>1622</v>
      </c>
      <c r="B576" s="3">
        <v>45948</v>
      </c>
      <c r="C576" s="2" t="s">
        <v>17</v>
      </c>
      <c r="D576" s="2" t="s">
        <v>18</v>
      </c>
      <c r="E576" s="2" t="s">
        <v>20</v>
      </c>
      <c r="F576" s="2">
        <v>10</v>
      </c>
      <c r="G576" s="4">
        <v>29.86</v>
      </c>
      <c r="H576" s="5">
        <f t="shared" si="8"/>
        <v>298.60000000000002</v>
      </c>
    </row>
    <row r="577" spans="1:8" x14ac:dyDescent="0.3">
      <c r="A577" s="2">
        <v>1033</v>
      </c>
      <c r="B577" s="3">
        <v>45950</v>
      </c>
      <c r="C577" s="2" t="s">
        <v>12</v>
      </c>
      <c r="D577" s="2" t="s">
        <v>21</v>
      </c>
      <c r="E577" s="2" t="s">
        <v>14</v>
      </c>
      <c r="F577" s="2">
        <v>23</v>
      </c>
      <c r="G577" s="4">
        <v>138.07</v>
      </c>
      <c r="H577" s="5">
        <f t="shared" si="8"/>
        <v>3175.6099999999997</v>
      </c>
    </row>
    <row r="578" spans="1:8" x14ac:dyDescent="0.3">
      <c r="A578" s="2">
        <v>1217</v>
      </c>
      <c r="B578" s="3">
        <v>45950</v>
      </c>
      <c r="C578" s="2" t="s">
        <v>15</v>
      </c>
      <c r="D578" s="2" t="s">
        <v>10</v>
      </c>
      <c r="E578" s="2" t="s">
        <v>23</v>
      </c>
      <c r="F578" s="2">
        <v>5</v>
      </c>
      <c r="G578" s="4">
        <v>35.43</v>
      </c>
      <c r="H578" s="5">
        <f t="shared" ref="H578:H641" si="9">F578*G578</f>
        <v>177.15</v>
      </c>
    </row>
    <row r="579" spans="1:8" x14ac:dyDescent="0.3">
      <c r="A579" s="2">
        <v>1552</v>
      </c>
      <c r="B579" s="3">
        <v>45950</v>
      </c>
      <c r="C579" s="2" t="s">
        <v>17</v>
      </c>
      <c r="D579" s="2" t="s">
        <v>21</v>
      </c>
      <c r="E579" s="2" t="s">
        <v>19</v>
      </c>
      <c r="F579" s="2">
        <v>37</v>
      </c>
      <c r="G579" s="4">
        <v>48.16</v>
      </c>
      <c r="H579" s="5">
        <f t="shared" si="9"/>
        <v>1781.9199999999998</v>
      </c>
    </row>
    <row r="580" spans="1:8" x14ac:dyDescent="0.3">
      <c r="A580" s="2">
        <v>1595</v>
      </c>
      <c r="B580" s="3">
        <v>45950</v>
      </c>
      <c r="C580" s="2" t="s">
        <v>12</v>
      </c>
      <c r="D580" s="2" t="s">
        <v>24</v>
      </c>
      <c r="E580" s="2" t="s">
        <v>14</v>
      </c>
      <c r="F580" s="2">
        <v>28</v>
      </c>
      <c r="G580" s="4">
        <v>379.22</v>
      </c>
      <c r="H580" s="5">
        <f t="shared" si="9"/>
        <v>10618.16</v>
      </c>
    </row>
    <row r="581" spans="1:8" x14ac:dyDescent="0.3">
      <c r="A581" s="2">
        <v>1213</v>
      </c>
      <c r="B581" s="3">
        <v>45952</v>
      </c>
      <c r="C581" s="2" t="s">
        <v>17</v>
      </c>
      <c r="D581" s="2" t="s">
        <v>10</v>
      </c>
      <c r="E581" s="2" t="s">
        <v>19</v>
      </c>
      <c r="F581" s="2">
        <v>34</v>
      </c>
      <c r="G581" s="4">
        <v>40.090000000000003</v>
      </c>
      <c r="H581" s="5">
        <f t="shared" si="9"/>
        <v>1363.0600000000002</v>
      </c>
    </row>
    <row r="582" spans="1:8" x14ac:dyDescent="0.3">
      <c r="A582" s="2">
        <v>1233</v>
      </c>
      <c r="B582" s="3">
        <v>45953</v>
      </c>
      <c r="C582" s="2" t="s">
        <v>9</v>
      </c>
      <c r="D582" s="2" t="s">
        <v>21</v>
      </c>
      <c r="E582" s="2" t="s">
        <v>22</v>
      </c>
      <c r="F582" s="2">
        <v>17</v>
      </c>
      <c r="G582" s="4">
        <v>63.75</v>
      </c>
      <c r="H582" s="5">
        <f t="shared" si="9"/>
        <v>1083.75</v>
      </c>
    </row>
    <row r="583" spans="1:8" x14ac:dyDescent="0.3">
      <c r="A583" s="2">
        <v>1533</v>
      </c>
      <c r="B583" s="3">
        <v>45956</v>
      </c>
      <c r="C583" s="2" t="s">
        <v>15</v>
      </c>
      <c r="D583" s="2" t="s">
        <v>13</v>
      </c>
      <c r="E583" s="2" t="s">
        <v>16</v>
      </c>
      <c r="F583" s="2">
        <v>27</v>
      </c>
      <c r="G583" s="4">
        <v>55.54</v>
      </c>
      <c r="H583" s="5">
        <f t="shared" si="9"/>
        <v>1499.58</v>
      </c>
    </row>
    <row r="584" spans="1:8" x14ac:dyDescent="0.3">
      <c r="A584" s="2">
        <v>1421</v>
      </c>
      <c r="B584" s="3">
        <v>45957</v>
      </c>
      <c r="C584" s="2" t="s">
        <v>12</v>
      </c>
      <c r="D584" s="2" t="s">
        <v>10</v>
      </c>
      <c r="E584" s="2" t="s">
        <v>14</v>
      </c>
      <c r="F584" s="2">
        <v>16</v>
      </c>
      <c r="G584" s="4">
        <v>17.2</v>
      </c>
      <c r="H584" s="5">
        <f t="shared" si="9"/>
        <v>275.2</v>
      </c>
    </row>
    <row r="585" spans="1:8" x14ac:dyDescent="0.3">
      <c r="A585" s="2">
        <v>1310</v>
      </c>
      <c r="B585" s="3">
        <v>45958</v>
      </c>
      <c r="C585" s="2" t="s">
        <v>12</v>
      </c>
      <c r="D585" s="2" t="s">
        <v>13</v>
      </c>
      <c r="E585" s="2" t="s">
        <v>14</v>
      </c>
      <c r="F585" s="2">
        <v>39</v>
      </c>
      <c r="G585" s="4">
        <v>79.69</v>
      </c>
      <c r="H585" s="5">
        <f t="shared" si="9"/>
        <v>3107.91</v>
      </c>
    </row>
    <row r="586" spans="1:8" x14ac:dyDescent="0.3">
      <c r="A586" s="2">
        <v>1260</v>
      </c>
      <c r="B586" s="3">
        <v>45962</v>
      </c>
      <c r="C586" s="2" t="s">
        <v>17</v>
      </c>
      <c r="D586" s="2" t="s">
        <v>24</v>
      </c>
      <c r="E586" s="2" t="s">
        <v>19</v>
      </c>
      <c r="F586" s="2">
        <v>7</v>
      </c>
      <c r="G586" s="4">
        <v>346.2</v>
      </c>
      <c r="H586" s="5">
        <f t="shared" si="9"/>
        <v>2423.4</v>
      </c>
    </row>
    <row r="587" spans="1:8" x14ac:dyDescent="0.3">
      <c r="A587" s="2">
        <v>1043</v>
      </c>
      <c r="B587" s="3">
        <v>45963</v>
      </c>
      <c r="C587" s="2" t="s">
        <v>9</v>
      </c>
      <c r="D587" s="2" t="s">
        <v>10</v>
      </c>
      <c r="E587" s="2" t="s">
        <v>22</v>
      </c>
      <c r="F587" s="2">
        <v>23</v>
      </c>
      <c r="G587" s="4">
        <v>42.86</v>
      </c>
      <c r="H587" s="5">
        <f t="shared" si="9"/>
        <v>985.78</v>
      </c>
    </row>
    <row r="588" spans="1:8" x14ac:dyDescent="0.3">
      <c r="A588" s="2">
        <v>1453</v>
      </c>
      <c r="B588" s="3">
        <v>45963</v>
      </c>
      <c r="C588" s="2" t="s">
        <v>17</v>
      </c>
      <c r="D588" s="2" t="s">
        <v>24</v>
      </c>
      <c r="E588" s="2" t="s">
        <v>20</v>
      </c>
      <c r="F588" s="2">
        <v>8</v>
      </c>
      <c r="G588" s="4">
        <v>391.72</v>
      </c>
      <c r="H588" s="5">
        <f t="shared" si="9"/>
        <v>3133.76</v>
      </c>
    </row>
    <row r="589" spans="1:8" x14ac:dyDescent="0.3">
      <c r="A589" s="2">
        <v>1543</v>
      </c>
      <c r="B589" s="3">
        <v>45963</v>
      </c>
      <c r="C589" s="2" t="s">
        <v>17</v>
      </c>
      <c r="D589" s="2" t="s">
        <v>18</v>
      </c>
      <c r="E589" s="2" t="s">
        <v>20</v>
      </c>
      <c r="F589" s="2">
        <v>6</v>
      </c>
      <c r="G589" s="4">
        <v>45.06</v>
      </c>
      <c r="H589" s="5">
        <f t="shared" si="9"/>
        <v>270.36</v>
      </c>
    </row>
    <row r="590" spans="1:8" x14ac:dyDescent="0.3">
      <c r="A590" s="2">
        <v>1550</v>
      </c>
      <c r="B590" s="3">
        <v>45964</v>
      </c>
      <c r="C590" s="2" t="s">
        <v>9</v>
      </c>
      <c r="D590" s="2" t="s">
        <v>24</v>
      </c>
      <c r="E590" s="2" t="s">
        <v>22</v>
      </c>
      <c r="F590" s="2">
        <v>28</v>
      </c>
      <c r="G590" s="4">
        <v>86.64</v>
      </c>
      <c r="H590" s="5">
        <f t="shared" si="9"/>
        <v>2425.92</v>
      </c>
    </row>
    <row r="591" spans="1:8" x14ac:dyDescent="0.3">
      <c r="A591" s="2">
        <v>1040</v>
      </c>
      <c r="B591" s="3">
        <v>45968</v>
      </c>
      <c r="C591" s="2" t="s">
        <v>12</v>
      </c>
      <c r="D591" s="2" t="s">
        <v>13</v>
      </c>
      <c r="E591" s="2" t="s">
        <v>25</v>
      </c>
      <c r="F591" s="2">
        <v>12</v>
      </c>
      <c r="G591" s="4">
        <v>108.66</v>
      </c>
      <c r="H591" s="5">
        <f t="shared" si="9"/>
        <v>1303.92</v>
      </c>
    </row>
    <row r="592" spans="1:8" x14ac:dyDescent="0.3">
      <c r="A592" s="2">
        <v>1585</v>
      </c>
      <c r="B592" s="3">
        <v>45968</v>
      </c>
      <c r="C592" s="2" t="s">
        <v>9</v>
      </c>
      <c r="D592" s="2" t="s">
        <v>10</v>
      </c>
      <c r="E592" s="2" t="s">
        <v>22</v>
      </c>
      <c r="F592" s="2">
        <v>25</v>
      </c>
      <c r="G592" s="4">
        <v>36.17</v>
      </c>
      <c r="H592" s="5">
        <f t="shared" si="9"/>
        <v>904.25</v>
      </c>
    </row>
    <row r="593" spans="1:8" x14ac:dyDescent="0.3">
      <c r="A593" s="2">
        <v>1246</v>
      </c>
      <c r="B593" s="3">
        <v>45969</v>
      </c>
      <c r="C593" s="2" t="s">
        <v>17</v>
      </c>
      <c r="D593" s="2" t="s">
        <v>18</v>
      </c>
      <c r="E593" s="2" t="s">
        <v>19</v>
      </c>
      <c r="F593" s="2">
        <v>17</v>
      </c>
      <c r="G593" s="4">
        <v>47.91</v>
      </c>
      <c r="H593" s="5">
        <f t="shared" si="9"/>
        <v>814.46999999999991</v>
      </c>
    </row>
    <row r="594" spans="1:8" x14ac:dyDescent="0.3">
      <c r="A594" s="2">
        <v>1173</v>
      </c>
      <c r="B594" s="3">
        <v>45971</v>
      </c>
      <c r="C594" s="2" t="s">
        <v>9</v>
      </c>
      <c r="D594" s="2" t="s">
        <v>10</v>
      </c>
      <c r="E594" s="2" t="s">
        <v>11</v>
      </c>
      <c r="F594" s="2">
        <v>26</v>
      </c>
      <c r="G594" s="4">
        <v>42.65</v>
      </c>
      <c r="H594" s="5">
        <f t="shared" si="9"/>
        <v>1108.8999999999999</v>
      </c>
    </row>
    <row r="595" spans="1:8" x14ac:dyDescent="0.3">
      <c r="A595" s="2">
        <v>1572</v>
      </c>
      <c r="B595" s="3">
        <v>45971</v>
      </c>
      <c r="C595" s="2" t="s">
        <v>12</v>
      </c>
      <c r="D595" s="2" t="s">
        <v>24</v>
      </c>
      <c r="E595" s="2" t="s">
        <v>25</v>
      </c>
      <c r="F595" s="2">
        <v>4</v>
      </c>
      <c r="G595" s="4">
        <v>370.73</v>
      </c>
      <c r="H595" s="5">
        <f t="shared" si="9"/>
        <v>1482.92</v>
      </c>
    </row>
    <row r="596" spans="1:8" x14ac:dyDescent="0.3">
      <c r="A596" s="2">
        <v>1610</v>
      </c>
      <c r="B596" s="3">
        <v>45971</v>
      </c>
      <c r="C596" s="2" t="s">
        <v>12</v>
      </c>
      <c r="D596" s="2" t="s">
        <v>21</v>
      </c>
      <c r="E596" s="2" t="s">
        <v>25</v>
      </c>
      <c r="F596" s="2">
        <v>27</v>
      </c>
      <c r="G596" s="4">
        <v>89.3</v>
      </c>
      <c r="H596" s="5">
        <f t="shared" si="9"/>
        <v>2411.1</v>
      </c>
    </row>
    <row r="597" spans="1:8" x14ac:dyDescent="0.3">
      <c r="A597" s="2">
        <v>1168</v>
      </c>
      <c r="B597" s="3">
        <v>45972</v>
      </c>
      <c r="C597" s="2" t="s">
        <v>12</v>
      </c>
      <c r="D597" s="2" t="s">
        <v>24</v>
      </c>
      <c r="E597" s="2" t="s">
        <v>14</v>
      </c>
      <c r="F597" s="2">
        <v>24</v>
      </c>
      <c r="G597" s="4">
        <v>149.65</v>
      </c>
      <c r="H597" s="5">
        <f t="shared" si="9"/>
        <v>3591.6000000000004</v>
      </c>
    </row>
    <row r="598" spans="1:8" x14ac:dyDescent="0.3">
      <c r="A598" s="2">
        <v>1212</v>
      </c>
      <c r="B598" s="3">
        <v>45973</v>
      </c>
      <c r="C598" s="2" t="s">
        <v>17</v>
      </c>
      <c r="D598" s="2" t="s">
        <v>13</v>
      </c>
      <c r="E598" s="2" t="s">
        <v>19</v>
      </c>
      <c r="F598" s="2">
        <v>4</v>
      </c>
      <c r="G598" s="4">
        <v>194.25</v>
      </c>
      <c r="H598" s="5">
        <f t="shared" si="9"/>
        <v>777</v>
      </c>
    </row>
    <row r="599" spans="1:8" x14ac:dyDescent="0.3">
      <c r="A599" s="2">
        <v>1285</v>
      </c>
      <c r="B599" s="3">
        <v>45973</v>
      </c>
      <c r="C599" s="2" t="s">
        <v>17</v>
      </c>
      <c r="D599" s="2" t="s">
        <v>13</v>
      </c>
      <c r="E599" s="2" t="s">
        <v>19</v>
      </c>
      <c r="F599" s="2">
        <v>5</v>
      </c>
      <c r="G599" s="4">
        <v>99.52</v>
      </c>
      <c r="H599" s="5">
        <f t="shared" si="9"/>
        <v>497.59999999999997</v>
      </c>
    </row>
    <row r="600" spans="1:8" x14ac:dyDescent="0.3">
      <c r="A600" s="2">
        <v>1016</v>
      </c>
      <c r="B600" s="3">
        <v>45976</v>
      </c>
      <c r="C600" s="2" t="s">
        <v>17</v>
      </c>
      <c r="D600" s="2" t="s">
        <v>24</v>
      </c>
      <c r="E600" s="2" t="s">
        <v>19</v>
      </c>
      <c r="F600" s="2">
        <v>40</v>
      </c>
      <c r="G600" s="4">
        <v>193.75</v>
      </c>
      <c r="H600" s="5">
        <f t="shared" si="9"/>
        <v>7750</v>
      </c>
    </row>
    <row r="601" spans="1:8" x14ac:dyDescent="0.3">
      <c r="A601" s="2">
        <v>1116</v>
      </c>
      <c r="B601" s="3">
        <v>45976</v>
      </c>
      <c r="C601" s="2" t="s">
        <v>15</v>
      </c>
      <c r="D601" s="2" t="s">
        <v>24</v>
      </c>
      <c r="E601" s="2" t="s">
        <v>23</v>
      </c>
      <c r="F601" s="2">
        <v>5</v>
      </c>
      <c r="G601" s="4">
        <v>285.83</v>
      </c>
      <c r="H601" s="5">
        <f t="shared" si="9"/>
        <v>1429.1499999999999</v>
      </c>
    </row>
    <row r="602" spans="1:8" x14ac:dyDescent="0.3">
      <c r="A602" s="2">
        <v>1058</v>
      </c>
      <c r="B602" s="3">
        <v>45977</v>
      </c>
      <c r="C602" s="2" t="s">
        <v>17</v>
      </c>
      <c r="D602" s="2" t="s">
        <v>24</v>
      </c>
      <c r="E602" s="2" t="s">
        <v>20</v>
      </c>
      <c r="F602" s="2">
        <v>24</v>
      </c>
      <c r="G602" s="4">
        <v>380.64</v>
      </c>
      <c r="H602" s="5">
        <f t="shared" si="9"/>
        <v>9135.36</v>
      </c>
    </row>
    <row r="603" spans="1:8" x14ac:dyDescent="0.3">
      <c r="A603" s="2">
        <v>1335</v>
      </c>
      <c r="B603" s="3">
        <v>45977</v>
      </c>
      <c r="C603" s="2" t="s">
        <v>15</v>
      </c>
      <c r="D603" s="2" t="s">
        <v>18</v>
      </c>
      <c r="E603" s="2" t="s">
        <v>16</v>
      </c>
      <c r="F603" s="2">
        <v>24</v>
      </c>
      <c r="G603" s="4">
        <v>78.73</v>
      </c>
      <c r="H603" s="5">
        <f t="shared" si="9"/>
        <v>1889.52</v>
      </c>
    </row>
    <row r="604" spans="1:8" x14ac:dyDescent="0.3">
      <c r="A604" s="2">
        <v>1359</v>
      </c>
      <c r="B604" s="3">
        <v>45977</v>
      </c>
      <c r="C604" s="2" t="s">
        <v>9</v>
      </c>
      <c r="D604" s="2" t="s">
        <v>10</v>
      </c>
      <c r="E604" s="2" t="s">
        <v>22</v>
      </c>
      <c r="F604" s="2">
        <v>5</v>
      </c>
      <c r="G604" s="4">
        <v>20.11</v>
      </c>
      <c r="H604" s="5">
        <f t="shared" si="9"/>
        <v>100.55</v>
      </c>
    </row>
    <row r="605" spans="1:8" x14ac:dyDescent="0.3">
      <c r="A605" s="2">
        <v>1098</v>
      </c>
      <c r="B605" s="3">
        <v>45980</v>
      </c>
      <c r="C605" s="2" t="s">
        <v>12</v>
      </c>
      <c r="D605" s="2" t="s">
        <v>18</v>
      </c>
      <c r="E605" s="2" t="s">
        <v>14</v>
      </c>
      <c r="F605" s="2">
        <v>34</v>
      </c>
      <c r="G605" s="4">
        <v>36.81</v>
      </c>
      <c r="H605" s="5">
        <f t="shared" si="9"/>
        <v>1251.54</v>
      </c>
    </row>
    <row r="606" spans="1:8" x14ac:dyDescent="0.3">
      <c r="A606" s="2">
        <v>1484</v>
      </c>
      <c r="B606" s="3">
        <v>45983</v>
      </c>
      <c r="C606" s="2" t="s">
        <v>17</v>
      </c>
      <c r="D606" s="2" t="s">
        <v>10</v>
      </c>
      <c r="E606" s="2" t="s">
        <v>20</v>
      </c>
      <c r="F606" s="2">
        <v>35</v>
      </c>
      <c r="G606" s="4">
        <v>33.44</v>
      </c>
      <c r="H606" s="5">
        <f t="shared" si="9"/>
        <v>1170.3999999999999</v>
      </c>
    </row>
    <row r="607" spans="1:8" x14ac:dyDescent="0.3">
      <c r="A607" s="2">
        <v>1339</v>
      </c>
      <c r="B607" s="3">
        <v>45985</v>
      </c>
      <c r="C607" s="2" t="s">
        <v>17</v>
      </c>
      <c r="D607" s="2" t="s">
        <v>10</v>
      </c>
      <c r="E607" s="2" t="s">
        <v>19</v>
      </c>
      <c r="F607" s="2">
        <v>7</v>
      </c>
      <c r="G607" s="4">
        <v>47.89</v>
      </c>
      <c r="H607" s="5">
        <f t="shared" si="9"/>
        <v>335.23</v>
      </c>
    </row>
    <row r="608" spans="1:8" x14ac:dyDescent="0.3">
      <c r="A608" s="2">
        <v>1342</v>
      </c>
      <c r="B608" s="3">
        <v>45985</v>
      </c>
      <c r="C608" s="2" t="s">
        <v>12</v>
      </c>
      <c r="D608" s="2" t="s">
        <v>13</v>
      </c>
      <c r="E608" s="2" t="s">
        <v>25</v>
      </c>
      <c r="F608" s="2">
        <v>11</v>
      </c>
      <c r="G608" s="4">
        <v>164.8</v>
      </c>
      <c r="H608" s="5">
        <f t="shared" si="9"/>
        <v>1812.8000000000002</v>
      </c>
    </row>
    <row r="609" spans="1:8" x14ac:dyDescent="0.3">
      <c r="A609" s="2">
        <v>1489</v>
      </c>
      <c r="B609" s="3">
        <v>45986</v>
      </c>
      <c r="C609" s="2" t="s">
        <v>15</v>
      </c>
      <c r="D609" s="2" t="s">
        <v>24</v>
      </c>
      <c r="E609" s="2" t="s">
        <v>23</v>
      </c>
      <c r="F609" s="2">
        <v>24</v>
      </c>
      <c r="G609" s="4">
        <v>291.35000000000002</v>
      </c>
      <c r="H609" s="5">
        <f t="shared" si="9"/>
        <v>6992.4000000000005</v>
      </c>
    </row>
    <row r="610" spans="1:8" x14ac:dyDescent="0.3">
      <c r="A610" s="2">
        <v>1647</v>
      </c>
      <c r="B610" s="3">
        <v>45987</v>
      </c>
      <c r="C610" s="2" t="s">
        <v>9</v>
      </c>
      <c r="D610" s="2" t="s">
        <v>18</v>
      </c>
      <c r="E610" s="2" t="s">
        <v>22</v>
      </c>
      <c r="F610" s="2">
        <v>14</v>
      </c>
      <c r="G610" s="4">
        <v>72.760000000000005</v>
      </c>
      <c r="H610" s="5">
        <f t="shared" si="9"/>
        <v>1018.6400000000001</v>
      </c>
    </row>
    <row r="611" spans="1:8" x14ac:dyDescent="0.3">
      <c r="A611" s="2">
        <v>1008</v>
      </c>
      <c r="B611" s="3">
        <v>45988</v>
      </c>
      <c r="C611" s="2" t="s">
        <v>15</v>
      </c>
      <c r="D611" s="2" t="s">
        <v>21</v>
      </c>
      <c r="E611" s="2" t="s">
        <v>16</v>
      </c>
      <c r="F611" s="2">
        <v>30</v>
      </c>
      <c r="G611" s="4">
        <v>96.12</v>
      </c>
      <c r="H611" s="5">
        <f t="shared" si="9"/>
        <v>2883.6000000000004</v>
      </c>
    </row>
    <row r="612" spans="1:8" x14ac:dyDescent="0.3">
      <c r="A612" s="2">
        <v>1303</v>
      </c>
      <c r="B612" s="3">
        <v>45988</v>
      </c>
      <c r="C612" s="2" t="s">
        <v>15</v>
      </c>
      <c r="D612" s="2" t="s">
        <v>10</v>
      </c>
      <c r="E612" s="2" t="s">
        <v>23</v>
      </c>
      <c r="F612" s="2">
        <v>27</v>
      </c>
      <c r="G612" s="4">
        <v>33.770000000000003</v>
      </c>
      <c r="H612" s="5">
        <f t="shared" si="9"/>
        <v>911.79000000000008</v>
      </c>
    </row>
    <row r="613" spans="1:8" x14ac:dyDescent="0.3">
      <c r="A613" s="2">
        <v>1377</v>
      </c>
      <c r="B613" s="3">
        <v>45988</v>
      </c>
      <c r="C613" s="2" t="s">
        <v>17</v>
      </c>
      <c r="D613" s="2" t="s">
        <v>18</v>
      </c>
      <c r="E613" s="2" t="s">
        <v>19</v>
      </c>
      <c r="F613" s="2">
        <v>1</v>
      </c>
      <c r="G613" s="4">
        <v>64.73</v>
      </c>
      <c r="H613" s="5">
        <f t="shared" si="9"/>
        <v>64.73</v>
      </c>
    </row>
    <row r="614" spans="1:8" x14ac:dyDescent="0.3">
      <c r="A614" s="2">
        <v>1598</v>
      </c>
      <c r="B614" s="3">
        <v>45988</v>
      </c>
      <c r="C614" s="2" t="s">
        <v>17</v>
      </c>
      <c r="D614" s="2" t="s">
        <v>10</v>
      </c>
      <c r="E614" s="2" t="s">
        <v>19</v>
      </c>
      <c r="F614" s="2">
        <v>30</v>
      </c>
      <c r="G614" s="4">
        <v>48.46</v>
      </c>
      <c r="H614" s="5">
        <f t="shared" si="9"/>
        <v>1453.8</v>
      </c>
    </row>
    <row r="615" spans="1:8" x14ac:dyDescent="0.3">
      <c r="A615" s="2">
        <v>1297</v>
      </c>
      <c r="B615" s="3">
        <v>45989</v>
      </c>
      <c r="C615" s="2" t="s">
        <v>12</v>
      </c>
      <c r="D615" s="2" t="s">
        <v>18</v>
      </c>
      <c r="E615" s="2" t="s">
        <v>25</v>
      </c>
      <c r="F615" s="2">
        <v>30</v>
      </c>
      <c r="G615" s="4">
        <v>65.03</v>
      </c>
      <c r="H615" s="5">
        <f t="shared" si="9"/>
        <v>1950.9</v>
      </c>
    </row>
    <row r="616" spans="1:8" x14ac:dyDescent="0.3">
      <c r="A616" s="2">
        <v>1601</v>
      </c>
      <c r="B616" s="3">
        <v>45989</v>
      </c>
      <c r="C616" s="2" t="s">
        <v>9</v>
      </c>
      <c r="D616" s="2" t="s">
        <v>21</v>
      </c>
      <c r="E616" s="2" t="s">
        <v>22</v>
      </c>
      <c r="F616" s="2">
        <v>36</v>
      </c>
      <c r="G616" s="4">
        <v>132.19</v>
      </c>
      <c r="H616" s="5">
        <f t="shared" si="9"/>
        <v>4758.84</v>
      </c>
    </row>
    <row r="617" spans="1:8" x14ac:dyDescent="0.3">
      <c r="A617" s="2">
        <v>1606</v>
      </c>
      <c r="B617" s="3">
        <v>45989</v>
      </c>
      <c r="C617" s="2" t="s">
        <v>12</v>
      </c>
      <c r="D617" s="2" t="s">
        <v>21</v>
      </c>
      <c r="E617" s="2" t="s">
        <v>14</v>
      </c>
      <c r="F617" s="2">
        <v>25</v>
      </c>
      <c r="G617" s="4">
        <v>52.31</v>
      </c>
      <c r="H617" s="5">
        <f t="shared" si="9"/>
        <v>1307.75</v>
      </c>
    </row>
    <row r="618" spans="1:8" x14ac:dyDescent="0.3">
      <c r="A618" s="2">
        <v>1006</v>
      </c>
      <c r="B618" s="3">
        <v>45990</v>
      </c>
      <c r="C618" s="2" t="s">
        <v>9</v>
      </c>
      <c r="D618" s="2" t="s">
        <v>24</v>
      </c>
      <c r="E618" s="2" t="s">
        <v>11</v>
      </c>
      <c r="F618" s="2">
        <v>36</v>
      </c>
      <c r="G618" s="4">
        <v>199.17</v>
      </c>
      <c r="H618" s="5">
        <f t="shared" si="9"/>
        <v>7170.12</v>
      </c>
    </row>
    <row r="619" spans="1:8" x14ac:dyDescent="0.3">
      <c r="A619" s="2">
        <v>1474</v>
      </c>
      <c r="B619" s="3">
        <v>45990</v>
      </c>
      <c r="C619" s="2" t="s">
        <v>9</v>
      </c>
      <c r="D619" s="2" t="s">
        <v>24</v>
      </c>
      <c r="E619" s="2" t="s">
        <v>22</v>
      </c>
      <c r="F619" s="2">
        <v>21</v>
      </c>
      <c r="G619" s="4">
        <v>317.54000000000002</v>
      </c>
      <c r="H619" s="5">
        <f t="shared" si="9"/>
        <v>6668.34</v>
      </c>
    </row>
    <row r="620" spans="1:8" x14ac:dyDescent="0.3">
      <c r="A620" s="2">
        <v>1564</v>
      </c>
      <c r="B620" s="3">
        <v>45993</v>
      </c>
      <c r="C620" s="2" t="s">
        <v>9</v>
      </c>
      <c r="D620" s="2" t="s">
        <v>10</v>
      </c>
      <c r="E620" s="2" t="s">
        <v>11</v>
      </c>
      <c r="F620" s="2">
        <v>32</v>
      </c>
      <c r="G620" s="4">
        <v>36.5</v>
      </c>
      <c r="H620" s="5">
        <f t="shared" si="9"/>
        <v>1168</v>
      </c>
    </row>
    <row r="621" spans="1:8" x14ac:dyDescent="0.3">
      <c r="A621" s="2">
        <v>1077</v>
      </c>
      <c r="B621" s="3">
        <v>45996</v>
      </c>
      <c r="C621" s="2" t="s">
        <v>9</v>
      </c>
      <c r="D621" s="2" t="s">
        <v>18</v>
      </c>
      <c r="E621" s="2" t="s">
        <v>22</v>
      </c>
      <c r="F621" s="2">
        <v>9</v>
      </c>
      <c r="G621" s="4">
        <v>29.9</v>
      </c>
      <c r="H621" s="5">
        <f t="shared" si="9"/>
        <v>269.09999999999997</v>
      </c>
    </row>
    <row r="622" spans="1:8" x14ac:dyDescent="0.3">
      <c r="A622" s="2">
        <v>1568</v>
      </c>
      <c r="B622" s="3">
        <v>45996</v>
      </c>
      <c r="C622" s="2" t="s">
        <v>12</v>
      </c>
      <c r="D622" s="2" t="s">
        <v>13</v>
      </c>
      <c r="E622" s="2" t="s">
        <v>14</v>
      </c>
      <c r="F622" s="2">
        <v>27</v>
      </c>
      <c r="G622" s="4">
        <v>121.04</v>
      </c>
      <c r="H622" s="5">
        <f t="shared" si="9"/>
        <v>3268.0800000000004</v>
      </c>
    </row>
    <row r="623" spans="1:8" x14ac:dyDescent="0.3">
      <c r="A623" s="2">
        <v>1317</v>
      </c>
      <c r="B623" s="3">
        <v>45997</v>
      </c>
      <c r="C623" s="2" t="s">
        <v>12</v>
      </c>
      <c r="D623" s="2" t="s">
        <v>21</v>
      </c>
      <c r="E623" s="2" t="s">
        <v>14</v>
      </c>
      <c r="F623" s="2">
        <v>11</v>
      </c>
      <c r="G623" s="4">
        <v>54.84</v>
      </c>
      <c r="H623" s="5">
        <f t="shared" si="9"/>
        <v>603.24</v>
      </c>
    </row>
    <row r="624" spans="1:8" x14ac:dyDescent="0.3">
      <c r="A624" s="2">
        <v>1412</v>
      </c>
      <c r="B624" s="3">
        <v>45998</v>
      </c>
      <c r="C624" s="2" t="s">
        <v>17</v>
      </c>
      <c r="D624" s="2" t="s">
        <v>10</v>
      </c>
      <c r="E624" s="2" t="s">
        <v>19</v>
      </c>
      <c r="F624" s="2">
        <v>34</v>
      </c>
      <c r="G624" s="4">
        <v>41.56</v>
      </c>
      <c r="H624" s="5">
        <f t="shared" si="9"/>
        <v>1413.04</v>
      </c>
    </row>
    <row r="625" spans="1:8" x14ac:dyDescent="0.3">
      <c r="A625" s="2">
        <v>1526</v>
      </c>
      <c r="B625" s="3">
        <v>45998</v>
      </c>
      <c r="C625" s="2" t="s">
        <v>15</v>
      </c>
      <c r="D625" s="2" t="s">
        <v>24</v>
      </c>
      <c r="E625" s="2" t="s">
        <v>16</v>
      </c>
      <c r="F625" s="2">
        <v>12</v>
      </c>
      <c r="G625" s="4">
        <v>182.16</v>
      </c>
      <c r="H625" s="5">
        <f t="shared" si="9"/>
        <v>2185.92</v>
      </c>
    </row>
    <row r="626" spans="1:8" x14ac:dyDescent="0.3">
      <c r="A626" s="2">
        <v>1602</v>
      </c>
      <c r="B626" s="3">
        <v>45999</v>
      </c>
      <c r="C626" s="2" t="s">
        <v>15</v>
      </c>
      <c r="D626" s="2" t="s">
        <v>10</v>
      </c>
      <c r="E626" s="2" t="s">
        <v>23</v>
      </c>
      <c r="F626" s="2">
        <v>4</v>
      </c>
      <c r="G626" s="4">
        <v>59.9</v>
      </c>
      <c r="H626" s="5">
        <f t="shared" si="9"/>
        <v>239.6</v>
      </c>
    </row>
    <row r="627" spans="1:8" x14ac:dyDescent="0.3">
      <c r="A627" s="2">
        <v>1360</v>
      </c>
      <c r="B627" s="3">
        <v>46000</v>
      </c>
      <c r="C627" s="2" t="s">
        <v>15</v>
      </c>
      <c r="D627" s="2" t="s">
        <v>24</v>
      </c>
      <c r="E627" s="2" t="s">
        <v>16</v>
      </c>
      <c r="F627" s="2">
        <v>32</v>
      </c>
      <c r="G627" s="4">
        <v>187.27</v>
      </c>
      <c r="H627" s="5">
        <f t="shared" si="9"/>
        <v>5992.64</v>
      </c>
    </row>
    <row r="628" spans="1:8" x14ac:dyDescent="0.3">
      <c r="A628" s="2">
        <v>1400</v>
      </c>
      <c r="B628" s="3">
        <v>46001</v>
      </c>
      <c r="C628" s="2" t="s">
        <v>15</v>
      </c>
      <c r="D628" s="2" t="s">
        <v>21</v>
      </c>
      <c r="E628" s="2" t="s">
        <v>16</v>
      </c>
      <c r="F628" s="2">
        <v>26</v>
      </c>
      <c r="G628" s="4">
        <v>58.08</v>
      </c>
      <c r="H628" s="5">
        <f t="shared" si="9"/>
        <v>1510.08</v>
      </c>
    </row>
    <row r="629" spans="1:8" x14ac:dyDescent="0.3">
      <c r="A629" s="2">
        <v>1510</v>
      </c>
      <c r="B629" s="3">
        <v>46001</v>
      </c>
      <c r="C629" s="2" t="s">
        <v>15</v>
      </c>
      <c r="D629" s="2" t="s">
        <v>13</v>
      </c>
      <c r="E629" s="2" t="s">
        <v>23</v>
      </c>
      <c r="F629" s="2">
        <v>40</v>
      </c>
      <c r="G629" s="4">
        <v>177.78</v>
      </c>
      <c r="H629" s="5">
        <f t="shared" si="9"/>
        <v>7111.2</v>
      </c>
    </row>
    <row r="630" spans="1:8" x14ac:dyDescent="0.3">
      <c r="A630" s="2">
        <v>1174</v>
      </c>
      <c r="B630" s="3">
        <v>46004</v>
      </c>
      <c r="C630" s="2" t="s">
        <v>17</v>
      </c>
      <c r="D630" s="2" t="s">
        <v>13</v>
      </c>
      <c r="E630" s="2" t="s">
        <v>19</v>
      </c>
      <c r="F630" s="2">
        <v>27</v>
      </c>
      <c r="G630" s="4">
        <v>141.87</v>
      </c>
      <c r="H630" s="5">
        <f t="shared" si="9"/>
        <v>3830.4900000000002</v>
      </c>
    </row>
    <row r="631" spans="1:8" x14ac:dyDescent="0.3">
      <c r="A631" s="2">
        <v>1127</v>
      </c>
      <c r="B631" s="3">
        <v>46009</v>
      </c>
      <c r="C631" s="2" t="s">
        <v>15</v>
      </c>
      <c r="D631" s="2" t="s">
        <v>24</v>
      </c>
      <c r="E631" s="2" t="s">
        <v>23</v>
      </c>
      <c r="F631" s="2">
        <v>9</v>
      </c>
      <c r="G631" s="4">
        <v>80.44</v>
      </c>
      <c r="H631" s="5">
        <f t="shared" si="9"/>
        <v>723.96</v>
      </c>
    </row>
    <row r="632" spans="1:8" x14ac:dyDescent="0.3">
      <c r="A632" s="2">
        <v>1256</v>
      </c>
      <c r="B632" s="3">
        <v>46009</v>
      </c>
      <c r="C632" s="2" t="s">
        <v>15</v>
      </c>
      <c r="D632" s="2" t="s">
        <v>18</v>
      </c>
      <c r="E632" s="2" t="s">
        <v>23</v>
      </c>
      <c r="F632" s="2">
        <v>8</v>
      </c>
      <c r="G632" s="4">
        <v>65.97</v>
      </c>
      <c r="H632" s="5">
        <f t="shared" si="9"/>
        <v>527.76</v>
      </c>
    </row>
    <row r="633" spans="1:8" x14ac:dyDescent="0.3">
      <c r="A633" s="2">
        <v>1283</v>
      </c>
      <c r="B633" s="3">
        <v>46009</v>
      </c>
      <c r="C633" s="2" t="s">
        <v>15</v>
      </c>
      <c r="D633" s="2" t="s">
        <v>18</v>
      </c>
      <c r="E633" s="2" t="s">
        <v>16</v>
      </c>
      <c r="F633" s="2">
        <v>39</v>
      </c>
      <c r="G633" s="4">
        <v>27.35</v>
      </c>
      <c r="H633" s="5">
        <f t="shared" si="9"/>
        <v>1066.6500000000001</v>
      </c>
    </row>
    <row r="634" spans="1:8" x14ac:dyDescent="0.3">
      <c r="A634" s="2">
        <v>1467</v>
      </c>
      <c r="B634" s="3">
        <v>46010</v>
      </c>
      <c r="C634" s="2" t="s">
        <v>17</v>
      </c>
      <c r="D634" s="2" t="s">
        <v>13</v>
      </c>
      <c r="E634" s="2" t="s">
        <v>20</v>
      </c>
      <c r="F634" s="2">
        <v>29</v>
      </c>
      <c r="G634" s="4">
        <v>53.23</v>
      </c>
      <c r="H634" s="5">
        <f t="shared" si="9"/>
        <v>1543.6699999999998</v>
      </c>
    </row>
    <row r="635" spans="1:8" x14ac:dyDescent="0.3">
      <c r="A635" s="2">
        <v>1499</v>
      </c>
      <c r="B635" s="3">
        <v>46010</v>
      </c>
      <c r="C635" s="2" t="s">
        <v>9</v>
      </c>
      <c r="D635" s="2" t="s">
        <v>13</v>
      </c>
      <c r="E635" s="2" t="s">
        <v>22</v>
      </c>
      <c r="F635" s="2">
        <v>9</v>
      </c>
      <c r="G635" s="4">
        <v>46.09</v>
      </c>
      <c r="H635" s="5">
        <f t="shared" si="9"/>
        <v>414.81000000000006</v>
      </c>
    </row>
    <row r="636" spans="1:8" x14ac:dyDescent="0.3">
      <c r="A636" s="2">
        <v>1581</v>
      </c>
      <c r="B636" s="3">
        <v>46011</v>
      </c>
      <c r="C636" s="2" t="s">
        <v>17</v>
      </c>
      <c r="D636" s="2" t="s">
        <v>13</v>
      </c>
      <c r="E636" s="2" t="s">
        <v>20</v>
      </c>
      <c r="F636" s="2">
        <v>34</v>
      </c>
      <c r="G636" s="4">
        <v>88.84</v>
      </c>
      <c r="H636" s="5">
        <f t="shared" si="9"/>
        <v>3020.56</v>
      </c>
    </row>
    <row r="637" spans="1:8" x14ac:dyDescent="0.3">
      <c r="A637" s="2">
        <v>1063</v>
      </c>
      <c r="B637" s="3">
        <v>46012</v>
      </c>
      <c r="C637" s="2" t="s">
        <v>12</v>
      </c>
      <c r="D637" s="2" t="s">
        <v>13</v>
      </c>
      <c r="E637" s="2" t="s">
        <v>14</v>
      </c>
      <c r="F637" s="2">
        <v>19</v>
      </c>
      <c r="G637" s="4">
        <v>115.55</v>
      </c>
      <c r="H637" s="5">
        <f t="shared" si="9"/>
        <v>2195.4499999999998</v>
      </c>
    </row>
    <row r="638" spans="1:8" x14ac:dyDescent="0.3">
      <c r="A638" s="2">
        <v>1566</v>
      </c>
      <c r="B638" s="3">
        <v>46012</v>
      </c>
      <c r="C638" s="2" t="s">
        <v>9</v>
      </c>
      <c r="D638" s="2" t="s">
        <v>24</v>
      </c>
      <c r="E638" s="2" t="s">
        <v>22</v>
      </c>
      <c r="F638" s="2">
        <v>3</v>
      </c>
      <c r="G638" s="4">
        <v>166.08</v>
      </c>
      <c r="H638" s="5">
        <f t="shared" si="9"/>
        <v>498.24</v>
      </c>
    </row>
    <row r="639" spans="1:8" x14ac:dyDescent="0.3">
      <c r="A639" s="2">
        <v>1333</v>
      </c>
      <c r="B639" s="3">
        <v>46014</v>
      </c>
      <c r="C639" s="2" t="s">
        <v>15</v>
      </c>
      <c r="D639" s="2" t="s">
        <v>13</v>
      </c>
      <c r="E639" s="2" t="s">
        <v>23</v>
      </c>
      <c r="F639" s="2">
        <v>26</v>
      </c>
      <c r="G639" s="4">
        <v>176.02</v>
      </c>
      <c r="H639" s="5">
        <f t="shared" si="9"/>
        <v>4576.5200000000004</v>
      </c>
    </row>
    <row r="640" spans="1:8" x14ac:dyDescent="0.3">
      <c r="A640" s="2">
        <v>1020</v>
      </c>
      <c r="B640" s="3">
        <v>46015</v>
      </c>
      <c r="C640" s="2" t="s">
        <v>15</v>
      </c>
      <c r="D640" s="2" t="s">
        <v>21</v>
      </c>
      <c r="E640" s="2" t="s">
        <v>16</v>
      </c>
      <c r="F640" s="2">
        <v>10</v>
      </c>
      <c r="G640" s="4">
        <v>144.51</v>
      </c>
      <c r="H640" s="5">
        <f t="shared" si="9"/>
        <v>1445.1</v>
      </c>
    </row>
    <row r="641" spans="1:8" x14ac:dyDescent="0.3">
      <c r="A641" s="2">
        <v>1541</v>
      </c>
      <c r="B641" s="3">
        <v>46015</v>
      </c>
      <c r="C641" s="2" t="s">
        <v>15</v>
      </c>
      <c r="D641" s="2" t="s">
        <v>10</v>
      </c>
      <c r="E641" s="2" t="s">
        <v>16</v>
      </c>
      <c r="F641" s="2">
        <v>34</v>
      </c>
      <c r="G641" s="4">
        <v>28.07</v>
      </c>
      <c r="H641" s="5">
        <f t="shared" si="9"/>
        <v>954.38</v>
      </c>
    </row>
    <row r="642" spans="1:8" x14ac:dyDescent="0.3">
      <c r="A642" s="2">
        <v>1618</v>
      </c>
      <c r="B642" s="3">
        <v>46015</v>
      </c>
      <c r="C642" s="2" t="s">
        <v>15</v>
      </c>
      <c r="D642" s="2" t="s">
        <v>13</v>
      </c>
      <c r="E642" s="2" t="s">
        <v>23</v>
      </c>
      <c r="F642" s="2">
        <v>9</v>
      </c>
      <c r="G642" s="4">
        <v>176.93</v>
      </c>
      <c r="H642" s="5">
        <f t="shared" ref="H642:H651" si="10">F642*G642</f>
        <v>1592.3700000000001</v>
      </c>
    </row>
    <row r="643" spans="1:8" x14ac:dyDescent="0.3">
      <c r="A643" s="2">
        <v>1211</v>
      </c>
      <c r="B643" s="3">
        <v>46016</v>
      </c>
      <c r="C643" s="2" t="s">
        <v>9</v>
      </c>
      <c r="D643" s="2" t="s">
        <v>13</v>
      </c>
      <c r="E643" s="2" t="s">
        <v>11</v>
      </c>
      <c r="F643" s="2">
        <v>10</v>
      </c>
      <c r="G643" s="4">
        <v>36.14</v>
      </c>
      <c r="H643" s="5">
        <f t="shared" si="10"/>
        <v>361.4</v>
      </c>
    </row>
    <row r="644" spans="1:8" x14ac:dyDescent="0.3">
      <c r="A644" s="2">
        <v>1463</v>
      </c>
      <c r="B644" s="3">
        <v>46016</v>
      </c>
      <c r="C644" s="2" t="s">
        <v>9</v>
      </c>
      <c r="D644" s="2" t="s">
        <v>10</v>
      </c>
      <c r="E644" s="2" t="s">
        <v>11</v>
      </c>
      <c r="F644" s="2">
        <v>8</v>
      </c>
      <c r="G644" s="4">
        <v>26.68</v>
      </c>
      <c r="H644" s="5">
        <f t="shared" si="10"/>
        <v>213.44</v>
      </c>
    </row>
    <row r="645" spans="1:8" x14ac:dyDescent="0.3">
      <c r="A645" s="2">
        <v>1300</v>
      </c>
      <c r="B645" s="3">
        <v>46019</v>
      </c>
      <c r="C645" s="2" t="s">
        <v>17</v>
      </c>
      <c r="D645" s="2" t="s">
        <v>21</v>
      </c>
      <c r="E645" s="2" t="s">
        <v>20</v>
      </c>
      <c r="F645" s="2">
        <v>21</v>
      </c>
      <c r="G645" s="4">
        <v>74.83</v>
      </c>
      <c r="H645" s="5">
        <f t="shared" si="10"/>
        <v>1571.43</v>
      </c>
    </row>
    <row r="646" spans="1:8" x14ac:dyDescent="0.3">
      <c r="A646" s="2">
        <v>1221</v>
      </c>
      <c r="B646" s="3">
        <v>46020</v>
      </c>
      <c r="C646" s="2" t="s">
        <v>12</v>
      </c>
      <c r="D646" s="2" t="s">
        <v>21</v>
      </c>
      <c r="E646" s="2" t="s">
        <v>14</v>
      </c>
      <c r="F646" s="2">
        <v>34</v>
      </c>
      <c r="G646" s="4">
        <v>109.15</v>
      </c>
      <c r="H646" s="5">
        <f t="shared" si="10"/>
        <v>3711.1000000000004</v>
      </c>
    </row>
    <row r="647" spans="1:8" x14ac:dyDescent="0.3">
      <c r="A647" s="2">
        <v>1429</v>
      </c>
      <c r="B647" s="3">
        <v>46020</v>
      </c>
      <c r="C647" s="2" t="s">
        <v>15</v>
      </c>
      <c r="D647" s="2" t="s">
        <v>24</v>
      </c>
      <c r="E647" s="2" t="s">
        <v>23</v>
      </c>
      <c r="F647" s="2">
        <v>11</v>
      </c>
      <c r="G647" s="4">
        <v>107.99</v>
      </c>
      <c r="H647" s="5">
        <f t="shared" si="10"/>
        <v>1187.8899999999999</v>
      </c>
    </row>
    <row r="648" spans="1:8" x14ac:dyDescent="0.3">
      <c r="A648" s="2">
        <v>1593</v>
      </c>
      <c r="B648" s="3">
        <v>46020</v>
      </c>
      <c r="C648" s="2" t="s">
        <v>17</v>
      </c>
      <c r="D648" s="2" t="s">
        <v>24</v>
      </c>
      <c r="E648" s="2" t="s">
        <v>20</v>
      </c>
      <c r="F648" s="2">
        <v>5</v>
      </c>
      <c r="G648" s="4">
        <v>185.42</v>
      </c>
      <c r="H648" s="5">
        <f t="shared" si="10"/>
        <v>927.09999999999991</v>
      </c>
    </row>
    <row r="649" spans="1:8" x14ac:dyDescent="0.3">
      <c r="A649" s="2">
        <v>1007</v>
      </c>
      <c r="B649" s="3">
        <v>46021</v>
      </c>
      <c r="C649" s="2" t="s">
        <v>12</v>
      </c>
      <c r="D649" s="2" t="s">
        <v>10</v>
      </c>
      <c r="E649" s="2" t="s">
        <v>25</v>
      </c>
      <c r="F649" s="2">
        <v>32</v>
      </c>
      <c r="G649" s="4">
        <v>40.950000000000003</v>
      </c>
      <c r="H649" s="5">
        <f t="shared" si="10"/>
        <v>1310.4000000000001</v>
      </c>
    </row>
    <row r="650" spans="1:8" x14ac:dyDescent="0.3">
      <c r="A650" s="2">
        <v>1591</v>
      </c>
      <c r="B650" s="3">
        <v>46021</v>
      </c>
      <c r="C650" s="2" t="s">
        <v>17</v>
      </c>
      <c r="D650" s="2" t="s">
        <v>13</v>
      </c>
      <c r="E650" s="2" t="s">
        <v>19</v>
      </c>
      <c r="F650" s="2">
        <v>17</v>
      </c>
      <c r="G650" s="4">
        <v>138.43</v>
      </c>
      <c r="H650" s="5">
        <f t="shared" si="10"/>
        <v>2353.31</v>
      </c>
    </row>
    <row r="651" spans="1:8" x14ac:dyDescent="0.3">
      <c r="A651" s="2">
        <v>1308</v>
      </c>
      <c r="B651" s="3">
        <v>46022</v>
      </c>
      <c r="C651" s="2" t="s">
        <v>9</v>
      </c>
      <c r="D651" s="2" t="s">
        <v>24</v>
      </c>
      <c r="E651" s="2" t="s">
        <v>22</v>
      </c>
      <c r="F651" s="2">
        <v>32</v>
      </c>
      <c r="G651" s="4">
        <v>281.16000000000003</v>
      </c>
      <c r="H651" s="5">
        <f t="shared" si="10"/>
        <v>8997.1200000000008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1"/>
  <sheetViews>
    <sheetView zoomScaleNormal="100" workbookViewId="0">
      <pane ySplit="1" topLeftCell="A453" activePane="bottomLeft" state="frozen"/>
      <selection pane="bottomLeft" activeCell="E8" sqref="E8"/>
    </sheetView>
  </sheetViews>
  <sheetFormatPr defaultColWidth="8.6640625" defaultRowHeight="14.4" x14ac:dyDescent="0.3"/>
  <cols>
    <col min="1" max="2" width="12" customWidth="1"/>
    <col min="3" max="3" width="15" customWidth="1"/>
    <col min="4" max="4" width="14" customWidth="1"/>
  </cols>
  <sheetData>
    <row r="1" spans="1:4" x14ac:dyDescent="0.3">
      <c r="A1" s="1" t="s">
        <v>37</v>
      </c>
      <c r="B1" s="1" t="s">
        <v>2</v>
      </c>
      <c r="C1" s="1" t="s">
        <v>3</v>
      </c>
      <c r="D1" s="1" t="s">
        <v>38</v>
      </c>
    </row>
    <row r="2" spans="1:4" x14ac:dyDescent="0.3">
      <c r="A2" s="6" t="s">
        <v>8</v>
      </c>
      <c r="B2" s="7" t="s">
        <v>12</v>
      </c>
      <c r="C2" s="7" t="s">
        <v>24</v>
      </c>
      <c r="D2" s="8">
        <v>4610</v>
      </c>
    </row>
    <row r="3" spans="1:4" x14ac:dyDescent="0.3">
      <c r="A3" s="6" t="s">
        <v>8</v>
      </c>
      <c r="B3" s="7" t="s">
        <v>12</v>
      </c>
      <c r="C3" s="7" t="s">
        <v>18</v>
      </c>
      <c r="D3" s="8">
        <v>1180</v>
      </c>
    </row>
    <row r="4" spans="1:4" x14ac:dyDescent="0.3">
      <c r="A4" s="6" t="s">
        <v>8</v>
      </c>
      <c r="B4" s="7" t="s">
        <v>12</v>
      </c>
      <c r="C4" s="7" t="s">
        <v>21</v>
      </c>
      <c r="D4" s="8">
        <v>3240</v>
      </c>
    </row>
    <row r="5" spans="1:4" x14ac:dyDescent="0.3">
      <c r="A5" s="6" t="s">
        <v>8</v>
      </c>
      <c r="B5" s="7" t="s">
        <v>12</v>
      </c>
      <c r="C5" s="7" t="s">
        <v>13</v>
      </c>
      <c r="D5" s="8">
        <v>3030</v>
      </c>
    </row>
    <row r="6" spans="1:4" x14ac:dyDescent="0.3">
      <c r="A6" s="6" t="s">
        <v>8</v>
      </c>
      <c r="B6" s="7" t="s">
        <v>12</v>
      </c>
      <c r="C6" s="7" t="s">
        <v>10</v>
      </c>
      <c r="D6" s="8">
        <v>490</v>
      </c>
    </row>
    <row r="7" spans="1:4" x14ac:dyDescent="0.3">
      <c r="A7" s="6" t="s">
        <v>8</v>
      </c>
      <c r="B7" s="7" t="s">
        <v>9</v>
      </c>
      <c r="C7" s="7" t="s">
        <v>24</v>
      </c>
      <c r="D7" s="8">
        <v>6480</v>
      </c>
    </row>
    <row r="8" spans="1:4" x14ac:dyDescent="0.3">
      <c r="A8" s="6" t="s">
        <v>8</v>
      </c>
      <c r="B8" s="7" t="s">
        <v>9</v>
      </c>
      <c r="C8" s="7" t="s">
        <v>18</v>
      </c>
      <c r="D8" s="8">
        <v>1150</v>
      </c>
    </row>
    <row r="9" spans="1:4" x14ac:dyDescent="0.3">
      <c r="A9" s="6" t="s">
        <v>8</v>
      </c>
      <c r="B9" s="7" t="s">
        <v>9</v>
      </c>
      <c r="C9" s="7" t="s">
        <v>21</v>
      </c>
      <c r="D9" s="8">
        <v>2460</v>
      </c>
    </row>
    <row r="10" spans="1:4" x14ac:dyDescent="0.3">
      <c r="A10" s="6" t="s">
        <v>8</v>
      </c>
      <c r="B10" s="7" t="s">
        <v>9</v>
      </c>
      <c r="C10" s="7" t="s">
        <v>13</v>
      </c>
      <c r="D10" s="8">
        <v>2660</v>
      </c>
    </row>
    <row r="11" spans="1:4" x14ac:dyDescent="0.3">
      <c r="A11" s="6" t="s">
        <v>8</v>
      </c>
      <c r="B11" s="7" t="s">
        <v>9</v>
      </c>
      <c r="C11" s="7" t="s">
        <v>10</v>
      </c>
      <c r="D11" s="8">
        <v>750</v>
      </c>
    </row>
    <row r="12" spans="1:4" x14ac:dyDescent="0.3">
      <c r="A12" s="6" t="s">
        <v>8</v>
      </c>
      <c r="B12" s="7" t="s">
        <v>17</v>
      </c>
      <c r="C12" s="7" t="s">
        <v>24</v>
      </c>
      <c r="D12" s="8">
        <v>5680</v>
      </c>
    </row>
    <row r="13" spans="1:4" x14ac:dyDescent="0.3">
      <c r="A13" s="6" t="s">
        <v>8</v>
      </c>
      <c r="B13" s="7" t="s">
        <v>17</v>
      </c>
      <c r="C13" s="7" t="s">
        <v>18</v>
      </c>
      <c r="D13" s="8">
        <v>1350</v>
      </c>
    </row>
    <row r="14" spans="1:4" x14ac:dyDescent="0.3">
      <c r="A14" s="6" t="s">
        <v>8</v>
      </c>
      <c r="B14" s="7" t="s">
        <v>17</v>
      </c>
      <c r="C14" s="7" t="s">
        <v>21</v>
      </c>
      <c r="D14" s="8">
        <v>1090</v>
      </c>
    </row>
    <row r="15" spans="1:4" x14ac:dyDescent="0.3">
      <c r="A15" s="6" t="s">
        <v>8</v>
      </c>
      <c r="B15" s="7" t="s">
        <v>17</v>
      </c>
      <c r="C15" s="7" t="s">
        <v>13</v>
      </c>
      <c r="D15" s="8">
        <v>2820</v>
      </c>
    </row>
    <row r="16" spans="1:4" x14ac:dyDescent="0.3">
      <c r="A16" s="6" t="s">
        <v>8</v>
      </c>
      <c r="B16" s="7" t="s">
        <v>17</v>
      </c>
      <c r="C16" s="7" t="s">
        <v>10</v>
      </c>
      <c r="D16" s="8">
        <v>1090</v>
      </c>
    </row>
    <row r="17" spans="1:4" x14ac:dyDescent="0.3">
      <c r="A17" s="6" t="s">
        <v>8</v>
      </c>
      <c r="B17" s="7" t="s">
        <v>15</v>
      </c>
      <c r="C17" s="7" t="s">
        <v>24</v>
      </c>
      <c r="D17" s="8">
        <v>3400</v>
      </c>
    </row>
    <row r="18" spans="1:4" x14ac:dyDescent="0.3">
      <c r="A18" s="6" t="s">
        <v>8</v>
      </c>
      <c r="B18" s="7" t="s">
        <v>15</v>
      </c>
      <c r="C18" s="7" t="s">
        <v>18</v>
      </c>
      <c r="D18" s="8">
        <v>970</v>
      </c>
    </row>
    <row r="19" spans="1:4" x14ac:dyDescent="0.3">
      <c r="A19" s="6" t="s">
        <v>8</v>
      </c>
      <c r="B19" s="7" t="s">
        <v>15</v>
      </c>
      <c r="C19" s="7" t="s">
        <v>21</v>
      </c>
      <c r="D19" s="8">
        <v>2090</v>
      </c>
    </row>
    <row r="20" spans="1:4" x14ac:dyDescent="0.3">
      <c r="A20" s="6" t="s">
        <v>8</v>
      </c>
      <c r="B20" s="7" t="s">
        <v>15</v>
      </c>
      <c r="C20" s="7" t="s">
        <v>13</v>
      </c>
      <c r="D20" s="8">
        <v>2980</v>
      </c>
    </row>
    <row r="21" spans="1:4" x14ac:dyDescent="0.3">
      <c r="A21" s="6" t="s">
        <v>8</v>
      </c>
      <c r="B21" s="7" t="s">
        <v>15</v>
      </c>
      <c r="C21" s="7" t="s">
        <v>10</v>
      </c>
      <c r="D21" s="8">
        <v>920</v>
      </c>
    </row>
    <row r="22" spans="1:4" x14ac:dyDescent="0.3">
      <c r="A22" s="6" t="s">
        <v>26</v>
      </c>
      <c r="B22" s="7" t="s">
        <v>12</v>
      </c>
      <c r="C22" s="7" t="s">
        <v>24</v>
      </c>
      <c r="D22" s="8">
        <v>4650</v>
      </c>
    </row>
    <row r="23" spans="1:4" x14ac:dyDescent="0.3">
      <c r="A23" s="6" t="s">
        <v>26</v>
      </c>
      <c r="B23" s="7" t="s">
        <v>12</v>
      </c>
      <c r="C23" s="7" t="s">
        <v>18</v>
      </c>
      <c r="D23" s="8">
        <v>1190</v>
      </c>
    </row>
    <row r="24" spans="1:4" x14ac:dyDescent="0.3">
      <c r="A24" s="6" t="s">
        <v>26</v>
      </c>
      <c r="B24" s="7" t="s">
        <v>12</v>
      </c>
      <c r="C24" s="7" t="s">
        <v>21</v>
      </c>
      <c r="D24" s="8">
        <v>3280</v>
      </c>
    </row>
    <row r="25" spans="1:4" x14ac:dyDescent="0.3">
      <c r="A25" s="6" t="s">
        <v>26</v>
      </c>
      <c r="B25" s="7" t="s">
        <v>12</v>
      </c>
      <c r="C25" s="7" t="s">
        <v>13</v>
      </c>
      <c r="D25" s="8">
        <v>3060</v>
      </c>
    </row>
    <row r="26" spans="1:4" x14ac:dyDescent="0.3">
      <c r="A26" s="6" t="s">
        <v>26</v>
      </c>
      <c r="B26" s="7" t="s">
        <v>12</v>
      </c>
      <c r="C26" s="7" t="s">
        <v>10</v>
      </c>
      <c r="D26" s="8">
        <v>490</v>
      </c>
    </row>
    <row r="27" spans="1:4" x14ac:dyDescent="0.3">
      <c r="A27" s="6" t="s">
        <v>26</v>
      </c>
      <c r="B27" s="7" t="s">
        <v>9</v>
      </c>
      <c r="C27" s="7" t="s">
        <v>24</v>
      </c>
      <c r="D27" s="8">
        <v>6550</v>
      </c>
    </row>
    <row r="28" spans="1:4" x14ac:dyDescent="0.3">
      <c r="A28" s="6" t="s">
        <v>26</v>
      </c>
      <c r="B28" s="7" t="s">
        <v>9</v>
      </c>
      <c r="C28" s="7" t="s">
        <v>18</v>
      </c>
      <c r="D28" s="8">
        <v>1160</v>
      </c>
    </row>
    <row r="29" spans="1:4" x14ac:dyDescent="0.3">
      <c r="A29" s="6" t="s">
        <v>26</v>
      </c>
      <c r="B29" s="7" t="s">
        <v>9</v>
      </c>
      <c r="C29" s="7" t="s">
        <v>21</v>
      </c>
      <c r="D29" s="8">
        <v>2490</v>
      </c>
    </row>
    <row r="30" spans="1:4" x14ac:dyDescent="0.3">
      <c r="A30" s="6" t="s">
        <v>26</v>
      </c>
      <c r="B30" s="7" t="s">
        <v>9</v>
      </c>
      <c r="C30" s="7" t="s">
        <v>13</v>
      </c>
      <c r="D30" s="8">
        <v>2690</v>
      </c>
    </row>
    <row r="31" spans="1:4" x14ac:dyDescent="0.3">
      <c r="A31" s="6" t="s">
        <v>26</v>
      </c>
      <c r="B31" s="7" t="s">
        <v>9</v>
      </c>
      <c r="C31" s="7" t="s">
        <v>10</v>
      </c>
      <c r="D31" s="8">
        <v>760</v>
      </c>
    </row>
    <row r="32" spans="1:4" x14ac:dyDescent="0.3">
      <c r="A32" s="6" t="s">
        <v>26</v>
      </c>
      <c r="B32" s="7" t="s">
        <v>17</v>
      </c>
      <c r="C32" s="7" t="s">
        <v>24</v>
      </c>
      <c r="D32" s="8">
        <v>5730</v>
      </c>
    </row>
    <row r="33" spans="1:4" x14ac:dyDescent="0.3">
      <c r="A33" s="6" t="s">
        <v>26</v>
      </c>
      <c r="B33" s="7" t="s">
        <v>17</v>
      </c>
      <c r="C33" s="7" t="s">
        <v>18</v>
      </c>
      <c r="D33" s="8">
        <v>1360</v>
      </c>
    </row>
    <row r="34" spans="1:4" x14ac:dyDescent="0.3">
      <c r="A34" s="6" t="s">
        <v>26</v>
      </c>
      <c r="B34" s="7" t="s">
        <v>17</v>
      </c>
      <c r="C34" s="7" t="s">
        <v>21</v>
      </c>
      <c r="D34" s="8">
        <v>1100</v>
      </c>
    </row>
    <row r="35" spans="1:4" x14ac:dyDescent="0.3">
      <c r="A35" s="6" t="s">
        <v>26</v>
      </c>
      <c r="B35" s="7" t="s">
        <v>17</v>
      </c>
      <c r="C35" s="7" t="s">
        <v>13</v>
      </c>
      <c r="D35" s="8">
        <v>2850</v>
      </c>
    </row>
    <row r="36" spans="1:4" x14ac:dyDescent="0.3">
      <c r="A36" s="6" t="s">
        <v>26</v>
      </c>
      <c r="B36" s="7" t="s">
        <v>17</v>
      </c>
      <c r="C36" s="7" t="s">
        <v>10</v>
      </c>
      <c r="D36" s="8">
        <v>1100</v>
      </c>
    </row>
    <row r="37" spans="1:4" x14ac:dyDescent="0.3">
      <c r="A37" s="6" t="s">
        <v>26</v>
      </c>
      <c r="B37" s="7" t="s">
        <v>15</v>
      </c>
      <c r="C37" s="7" t="s">
        <v>24</v>
      </c>
      <c r="D37" s="8">
        <v>3430</v>
      </c>
    </row>
    <row r="38" spans="1:4" x14ac:dyDescent="0.3">
      <c r="A38" s="6" t="s">
        <v>26</v>
      </c>
      <c r="B38" s="7" t="s">
        <v>15</v>
      </c>
      <c r="C38" s="7" t="s">
        <v>18</v>
      </c>
      <c r="D38" s="8">
        <v>980</v>
      </c>
    </row>
    <row r="39" spans="1:4" x14ac:dyDescent="0.3">
      <c r="A39" s="6" t="s">
        <v>26</v>
      </c>
      <c r="B39" s="7" t="s">
        <v>15</v>
      </c>
      <c r="C39" s="7" t="s">
        <v>21</v>
      </c>
      <c r="D39" s="8">
        <v>2110</v>
      </c>
    </row>
    <row r="40" spans="1:4" x14ac:dyDescent="0.3">
      <c r="A40" s="6" t="s">
        <v>26</v>
      </c>
      <c r="B40" s="7" t="s">
        <v>15</v>
      </c>
      <c r="C40" s="7" t="s">
        <v>13</v>
      </c>
      <c r="D40" s="8">
        <v>3010</v>
      </c>
    </row>
    <row r="41" spans="1:4" x14ac:dyDescent="0.3">
      <c r="A41" s="6" t="s">
        <v>26</v>
      </c>
      <c r="B41" s="7" t="s">
        <v>15</v>
      </c>
      <c r="C41" s="7" t="s">
        <v>10</v>
      </c>
      <c r="D41" s="8">
        <v>920</v>
      </c>
    </row>
    <row r="42" spans="1:4" x14ac:dyDescent="0.3">
      <c r="A42" s="6" t="s">
        <v>27</v>
      </c>
      <c r="B42" s="7" t="s">
        <v>12</v>
      </c>
      <c r="C42" s="7" t="s">
        <v>24</v>
      </c>
      <c r="D42" s="8">
        <v>5220</v>
      </c>
    </row>
    <row r="43" spans="1:4" x14ac:dyDescent="0.3">
      <c r="A43" s="6" t="s">
        <v>27</v>
      </c>
      <c r="B43" s="7" t="s">
        <v>12</v>
      </c>
      <c r="C43" s="7" t="s">
        <v>18</v>
      </c>
      <c r="D43" s="8">
        <v>1340</v>
      </c>
    </row>
    <row r="44" spans="1:4" x14ac:dyDescent="0.3">
      <c r="A44" s="6" t="s">
        <v>27</v>
      </c>
      <c r="B44" s="7" t="s">
        <v>12</v>
      </c>
      <c r="C44" s="7" t="s">
        <v>21</v>
      </c>
      <c r="D44" s="8">
        <v>3680</v>
      </c>
    </row>
    <row r="45" spans="1:4" x14ac:dyDescent="0.3">
      <c r="A45" s="6" t="s">
        <v>27</v>
      </c>
      <c r="B45" s="7" t="s">
        <v>12</v>
      </c>
      <c r="C45" s="7" t="s">
        <v>13</v>
      </c>
      <c r="D45" s="8">
        <v>3430</v>
      </c>
    </row>
    <row r="46" spans="1:4" x14ac:dyDescent="0.3">
      <c r="A46" s="6" t="s">
        <v>27</v>
      </c>
      <c r="B46" s="7" t="s">
        <v>12</v>
      </c>
      <c r="C46" s="7" t="s">
        <v>10</v>
      </c>
      <c r="D46" s="8">
        <v>550</v>
      </c>
    </row>
    <row r="47" spans="1:4" x14ac:dyDescent="0.3">
      <c r="A47" s="6" t="s">
        <v>27</v>
      </c>
      <c r="B47" s="7" t="s">
        <v>9</v>
      </c>
      <c r="C47" s="7" t="s">
        <v>24</v>
      </c>
      <c r="D47" s="8">
        <v>7350</v>
      </c>
    </row>
    <row r="48" spans="1:4" x14ac:dyDescent="0.3">
      <c r="A48" s="6" t="s">
        <v>27</v>
      </c>
      <c r="B48" s="7" t="s">
        <v>9</v>
      </c>
      <c r="C48" s="7" t="s">
        <v>18</v>
      </c>
      <c r="D48" s="8">
        <v>1310</v>
      </c>
    </row>
    <row r="49" spans="1:4" x14ac:dyDescent="0.3">
      <c r="A49" s="6" t="s">
        <v>27</v>
      </c>
      <c r="B49" s="7" t="s">
        <v>9</v>
      </c>
      <c r="C49" s="7" t="s">
        <v>21</v>
      </c>
      <c r="D49" s="8">
        <v>2790</v>
      </c>
    </row>
    <row r="50" spans="1:4" x14ac:dyDescent="0.3">
      <c r="A50" s="6" t="s">
        <v>27</v>
      </c>
      <c r="B50" s="7" t="s">
        <v>9</v>
      </c>
      <c r="C50" s="7" t="s">
        <v>13</v>
      </c>
      <c r="D50" s="8">
        <v>3010</v>
      </c>
    </row>
    <row r="51" spans="1:4" x14ac:dyDescent="0.3">
      <c r="A51" s="6" t="s">
        <v>27</v>
      </c>
      <c r="B51" s="7" t="s">
        <v>9</v>
      </c>
      <c r="C51" s="7" t="s">
        <v>10</v>
      </c>
      <c r="D51" s="8">
        <v>850</v>
      </c>
    </row>
    <row r="52" spans="1:4" x14ac:dyDescent="0.3">
      <c r="A52" s="6" t="s">
        <v>27</v>
      </c>
      <c r="B52" s="7" t="s">
        <v>17</v>
      </c>
      <c r="C52" s="7" t="s">
        <v>24</v>
      </c>
      <c r="D52" s="8">
        <v>6430</v>
      </c>
    </row>
    <row r="53" spans="1:4" x14ac:dyDescent="0.3">
      <c r="A53" s="6" t="s">
        <v>27</v>
      </c>
      <c r="B53" s="7" t="s">
        <v>17</v>
      </c>
      <c r="C53" s="7" t="s">
        <v>18</v>
      </c>
      <c r="D53" s="8">
        <v>1530</v>
      </c>
    </row>
    <row r="54" spans="1:4" x14ac:dyDescent="0.3">
      <c r="A54" s="6" t="s">
        <v>27</v>
      </c>
      <c r="B54" s="7" t="s">
        <v>17</v>
      </c>
      <c r="C54" s="7" t="s">
        <v>21</v>
      </c>
      <c r="D54" s="8">
        <v>1230</v>
      </c>
    </row>
    <row r="55" spans="1:4" x14ac:dyDescent="0.3">
      <c r="A55" s="6" t="s">
        <v>27</v>
      </c>
      <c r="B55" s="7" t="s">
        <v>17</v>
      </c>
      <c r="C55" s="7" t="s">
        <v>13</v>
      </c>
      <c r="D55" s="8">
        <v>3200</v>
      </c>
    </row>
    <row r="56" spans="1:4" x14ac:dyDescent="0.3">
      <c r="A56" s="6" t="s">
        <v>27</v>
      </c>
      <c r="B56" s="7" t="s">
        <v>17</v>
      </c>
      <c r="C56" s="7" t="s">
        <v>10</v>
      </c>
      <c r="D56" s="8">
        <v>1230</v>
      </c>
    </row>
    <row r="57" spans="1:4" x14ac:dyDescent="0.3">
      <c r="A57" s="6" t="s">
        <v>27</v>
      </c>
      <c r="B57" s="7" t="s">
        <v>15</v>
      </c>
      <c r="C57" s="7" t="s">
        <v>24</v>
      </c>
      <c r="D57" s="8">
        <v>3850</v>
      </c>
    </row>
    <row r="58" spans="1:4" x14ac:dyDescent="0.3">
      <c r="A58" s="6" t="s">
        <v>27</v>
      </c>
      <c r="B58" s="7" t="s">
        <v>15</v>
      </c>
      <c r="C58" s="7" t="s">
        <v>18</v>
      </c>
      <c r="D58" s="8">
        <v>1100</v>
      </c>
    </row>
    <row r="59" spans="1:4" x14ac:dyDescent="0.3">
      <c r="A59" s="6" t="s">
        <v>27</v>
      </c>
      <c r="B59" s="7" t="s">
        <v>15</v>
      </c>
      <c r="C59" s="7" t="s">
        <v>21</v>
      </c>
      <c r="D59" s="8">
        <v>2370</v>
      </c>
    </row>
    <row r="60" spans="1:4" x14ac:dyDescent="0.3">
      <c r="A60" s="6" t="s">
        <v>27</v>
      </c>
      <c r="B60" s="7" t="s">
        <v>15</v>
      </c>
      <c r="C60" s="7" t="s">
        <v>13</v>
      </c>
      <c r="D60" s="8">
        <v>3380</v>
      </c>
    </row>
    <row r="61" spans="1:4" x14ac:dyDescent="0.3">
      <c r="A61" s="6" t="s">
        <v>27</v>
      </c>
      <c r="B61" s="7" t="s">
        <v>15</v>
      </c>
      <c r="C61" s="7" t="s">
        <v>10</v>
      </c>
      <c r="D61" s="8">
        <v>1040</v>
      </c>
    </row>
    <row r="62" spans="1:4" x14ac:dyDescent="0.3">
      <c r="A62" s="6" t="s">
        <v>39</v>
      </c>
      <c r="B62" s="7" t="s">
        <v>12</v>
      </c>
      <c r="C62" s="7" t="s">
        <v>24</v>
      </c>
      <c r="D62" s="8">
        <v>5270</v>
      </c>
    </row>
    <row r="63" spans="1:4" x14ac:dyDescent="0.3">
      <c r="A63" s="6" t="s">
        <v>39</v>
      </c>
      <c r="B63" s="7" t="s">
        <v>12</v>
      </c>
      <c r="C63" s="7" t="s">
        <v>18</v>
      </c>
      <c r="D63" s="8">
        <v>1350</v>
      </c>
    </row>
    <row r="64" spans="1:4" x14ac:dyDescent="0.3">
      <c r="A64" s="6" t="s">
        <v>39</v>
      </c>
      <c r="B64" s="7" t="s">
        <v>12</v>
      </c>
      <c r="C64" s="7" t="s">
        <v>21</v>
      </c>
      <c r="D64" s="8">
        <v>3710</v>
      </c>
    </row>
    <row r="65" spans="1:4" x14ac:dyDescent="0.3">
      <c r="A65" s="6" t="s">
        <v>39</v>
      </c>
      <c r="B65" s="7" t="s">
        <v>12</v>
      </c>
      <c r="C65" s="7" t="s">
        <v>13</v>
      </c>
      <c r="D65" s="8">
        <v>3460</v>
      </c>
    </row>
    <row r="66" spans="1:4" x14ac:dyDescent="0.3">
      <c r="A66" s="6" t="s">
        <v>39</v>
      </c>
      <c r="B66" s="7" t="s">
        <v>12</v>
      </c>
      <c r="C66" s="7" t="s">
        <v>10</v>
      </c>
      <c r="D66" s="8">
        <v>560</v>
      </c>
    </row>
    <row r="67" spans="1:4" x14ac:dyDescent="0.3">
      <c r="A67" s="6" t="s">
        <v>39</v>
      </c>
      <c r="B67" s="7" t="s">
        <v>9</v>
      </c>
      <c r="C67" s="7" t="s">
        <v>24</v>
      </c>
      <c r="D67" s="8">
        <v>7420</v>
      </c>
    </row>
    <row r="68" spans="1:4" x14ac:dyDescent="0.3">
      <c r="A68" s="6" t="s">
        <v>39</v>
      </c>
      <c r="B68" s="7" t="s">
        <v>9</v>
      </c>
      <c r="C68" s="7" t="s">
        <v>18</v>
      </c>
      <c r="D68" s="8">
        <v>1320</v>
      </c>
    </row>
    <row r="69" spans="1:4" x14ac:dyDescent="0.3">
      <c r="A69" s="6" t="s">
        <v>39</v>
      </c>
      <c r="B69" s="7" t="s">
        <v>9</v>
      </c>
      <c r="C69" s="7" t="s">
        <v>21</v>
      </c>
      <c r="D69" s="8">
        <v>2820</v>
      </c>
    </row>
    <row r="70" spans="1:4" x14ac:dyDescent="0.3">
      <c r="A70" s="6" t="s">
        <v>39</v>
      </c>
      <c r="B70" s="7" t="s">
        <v>9</v>
      </c>
      <c r="C70" s="7" t="s">
        <v>13</v>
      </c>
      <c r="D70" s="8">
        <v>3040</v>
      </c>
    </row>
    <row r="71" spans="1:4" x14ac:dyDescent="0.3">
      <c r="A71" s="6" t="s">
        <v>39</v>
      </c>
      <c r="B71" s="7" t="s">
        <v>9</v>
      </c>
      <c r="C71" s="7" t="s">
        <v>10</v>
      </c>
      <c r="D71" s="8">
        <v>860</v>
      </c>
    </row>
    <row r="72" spans="1:4" x14ac:dyDescent="0.3">
      <c r="A72" s="6" t="s">
        <v>39</v>
      </c>
      <c r="B72" s="7" t="s">
        <v>17</v>
      </c>
      <c r="C72" s="7" t="s">
        <v>24</v>
      </c>
      <c r="D72" s="8">
        <v>6500</v>
      </c>
    </row>
    <row r="73" spans="1:4" x14ac:dyDescent="0.3">
      <c r="A73" s="6" t="s">
        <v>39</v>
      </c>
      <c r="B73" s="7" t="s">
        <v>17</v>
      </c>
      <c r="C73" s="7" t="s">
        <v>18</v>
      </c>
      <c r="D73" s="8">
        <v>1550</v>
      </c>
    </row>
    <row r="74" spans="1:4" x14ac:dyDescent="0.3">
      <c r="A74" s="6" t="s">
        <v>39</v>
      </c>
      <c r="B74" s="7" t="s">
        <v>17</v>
      </c>
      <c r="C74" s="7" t="s">
        <v>21</v>
      </c>
      <c r="D74" s="8">
        <v>1240</v>
      </c>
    </row>
    <row r="75" spans="1:4" x14ac:dyDescent="0.3">
      <c r="A75" s="6" t="s">
        <v>39</v>
      </c>
      <c r="B75" s="7" t="s">
        <v>17</v>
      </c>
      <c r="C75" s="7" t="s">
        <v>13</v>
      </c>
      <c r="D75" s="8">
        <v>3230</v>
      </c>
    </row>
    <row r="76" spans="1:4" x14ac:dyDescent="0.3">
      <c r="A76" s="6" t="s">
        <v>39</v>
      </c>
      <c r="B76" s="7" t="s">
        <v>17</v>
      </c>
      <c r="C76" s="7" t="s">
        <v>10</v>
      </c>
      <c r="D76" s="8">
        <v>1250</v>
      </c>
    </row>
    <row r="77" spans="1:4" x14ac:dyDescent="0.3">
      <c r="A77" s="6" t="s">
        <v>39</v>
      </c>
      <c r="B77" s="7" t="s">
        <v>15</v>
      </c>
      <c r="C77" s="7" t="s">
        <v>24</v>
      </c>
      <c r="D77" s="8">
        <v>3890</v>
      </c>
    </row>
    <row r="78" spans="1:4" x14ac:dyDescent="0.3">
      <c r="A78" s="6" t="s">
        <v>39</v>
      </c>
      <c r="B78" s="7" t="s">
        <v>15</v>
      </c>
      <c r="C78" s="7" t="s">
        <v>18</v>
      </c>
      <c r="D78" s="8">
        <v>1110</v>
      </c>
    </row>
    <row r="79" spans="1:4" x14ac:dyDescent="0.3">
      <c r="A79" s="6" t="s">
        <v>39</v>
      </c>
      <c r="B79" s="7" t="s">
        <v>15</v>
      </c>
      <c r="C79" s="7" t="s">
        <v>21</v>
      </c>
      <c r="D79" s="8">
        <v>2400</v>
      </c>
    </row>
    <row r="80" spans="1:4" x14ac:dyDescent="0.3">
      <c r="A80" s="6" t="s">
        <v>39</v>
      </c>
      <c r="B80" s="7" t="s">
        <v>15</v>
      </c>
      <c r="C80" s="7" t="s">
        <v>13</v>
      </c>
      <c r="D80" s="8">
        <v>3410</v>
      </c>
    </row>
    <row r="81" spans="1:4" x14ac:dyDescent="0.3">
      <c r="A81" s="6" t="s">
        <v>39</v>
      </c>
      <c r="B81" s="7" t="s">
        <v>15</v>
      </c>
      <c r="C81" s="7" t="s">
        <v>10</v>
      </c>
      <c r="D81" s="8">
        <v>1050</v>
      </c>
    </row>
    <row r="82" spans="1:4" x14ac:dyDescent="0.3">
      <c r="A82" s="6" t="s">
        <v>40</v>
      </c>
      <c r="B82" s="7" t="s">
        <v>12</v>
      </c>
      <c r="C82" s="7" t="s">
        <v>24</v>
      </c>
      <c r="D82" s="8">
        <v>5320</v>
      </c>
    </row>
    <row r="83" spans="1:4" x14ac:dyDescent="0.3">
      <c r="A83" s="6" t="s">
        <v>40</v>
      </c>
      <c r="B83" s="7" t="s">
        <v>12</v>
      </c>
      <c r="C83" s="7" t="s">
        <v>18</v>
      </c>
      <c r="D83" s="8">
        <v>1370</v>
      </c>
    </row>
    <row r="84" spans="1:4" x14ac:dyDescent="0.3">
      <c r="A84" s="6" t="s">
        <v>40</v>
      </c>
      <c r="B84" s="7" t="s">
        <v>12</v>
      </c>
      <c r="C84" s="7" t="s">
        <v>21</v>
      </c>
      <c r="D84" s="8">
        <v>3750</v>
      </c>
    </row>
    <row r="85" spans="1:4" x14ac:dyDescent="0.3">
      <c r="A85" s="6" t="s">
        <v>40</v>
      </c>
      <c r="B85" s="7" t="s">
        <v>12</v>
      </c>
      <c r="C85" s="7" t="s">
        <v>13</v>
      </c>
      <c r="D85" s="8">
        <v>3500</v>
      </c>
    </row>
    <row r="86" spans="1:4" x14ac:dyDescent="0.3">
      <c r="A86" s="6" t="s">
        <v>40</v>
      </c>
      <c r="B86" s="7" t="s">
        <v>12</v>
      </c>
      <c r="C86" s="7" t="s">
        <v>10</v>
      </c>
      <c r="D86" s="8">
        <v>570</v>
      </c>
    </row>
    <row r="87" spans="1:4" x14ac:dyDescent="0.3">
      <c r="A87" s="6" t="s">
        <v>40</v>
      </c>
      <c r="B87" s="7" t="s">
        <v>9</v>
      </c>
      <c r="C87" s="7" t="s">
        <v>24</v>
      </c>
      <c r="D87" s="8">
        <v>7490</v>
      </c>
    </row>
    <row r="88" spans="1:4" x14ac:dyDescent="0.3">
      <c r="A88" s="6" t="s">
        <v>40</v>
      </c>
      <c r="B88" s="7" t="s">
        <v>9</v>
      </c>
      <c r="C88" s="7" t="s">
        <v>18</v>
      </c>
      <c r="D88" s="8">
        <v>1330</v>
      </c>
    </row>
    <row r="89" spans="1:4" x14ac:dyDescent="0.3">
      <c r="A89" s="6" t="s">
        <v>40</v>
      </c>
      <c r="B89" s="7" t="s">
        <v>9</v>
      </c>
      <c r="C89" s="7" t="s">
        <v>21</v>
      </c>
      <c r="D89" s="8">
        <v>2850</v>
      </c>
    </row>
    <row r="90" spans="1:4" x14ac:dyDescent="0.3">
      <c r="A90" s="6" t="s">
        <v>40</v>
      </c>
      <c r="B90" s="7" t="s">
        <v>9</v>
      </c>
      <c r="C90" s="7" t="s">
        <v>13</v>
      </c>
      <c r="D90" s="8">
        <v>3070</v>
      </c>
    </row>
    <row r="91" spans="1:4" x14ac:dyDescent="0.3">
      <c r="A91" s="6" t="s">
        <v>40</v>
      </c>
      <c r="B91" s="7" t="s">
        <v>9</v>
      </c>
      <c r="C91" s="7" t="s">
        <v>10</v>
      </c>
      <c r="D91" s="8">
        <v>870</v>
      </c>
    </row>
    <row r="92" spans="1:4" x14ac:dyDescent="0.3">
      <c r="A92" s="6" t="s">
        <v>40</v>
      </c>
      <c r="B92" s="7" t="s">
        <v>17</v>
      </c>
      <c r="C92" s="7" t="s">
        <v>24</v>
      </c>
      <c r="D92" s="8">
        <v>6560</v>
      </c>
    </row>
    <row r="93" spans="1:4" x14ac:dyDescent="0.3">
      <c r="A93" s="6" t="s">
        <v>40</v>
      </c>
      <c r="B93" s="7" t="s">
        <v>17</v>
      </c>
      <c r="C93" s="7" t="s">
        <v>18</v>
      </c>
      <c r="D93" s="8">
        <v>1560</v>
      </c>
    </row>
    <row r="94" spans="1:4" x14ac:dyDescent="0.3">
      <c r="A94" s="6" t="s">
        <v>40</v>
      </c>
      <c r="B94" s="7" t="s">
        <v>17</v>
      </c>
      <c r="C94" s="7" t="s">
        <v>21</v>
      </c>
      <c r="D94" s="8">
        <v>1260</v>
      </c>
    </row>
    <row r="95" spans="1:4" x14ac:dyDescent="0.3">
      <c r="A95" s="6" t="s">
        <v>40</v>
      </c>
      <c r="B95" s="7" t="s">
        <v>17</v>
      </c>
      <c r="C95" s="7" t="s">
        <v>13</v>
      </c>
      <c r="D95" s="8">
        <v>3260</v>
      </c>
    </row>
    <row r="96" spans="1:4" x14ac:dyDescent="0.3">
      <c r="A96" s="6" t="s">
        <v>40</v>
      </c>
      <c r="B96" s="7" t="s">
        <v>17</v>
      </c>
      <c r="C96" s="7" t="s">
        <v>10</v>
      </c>
      <c r="D96" s="8">
        <v>1260</v>
      </c>
    </row>
    <row r="97" spans="1:4" x14ac:dyDescent="0.3">
      <c r="A97" s="6" t="s">
        <v>40</v>
      </c>
      <c r="B97" s="7" t="s">
        <v>15</v>
      </c>
      <c r="C97" s="7" t="s">
        <v>24</v>
      </c>
      <c r="D97" s="8">
        <v>3930</v>
      </c>
    </row>
    <row r="98" spans="1:4" x14ac:dyDescent="0.3">
      <c r="A98" s="6" t="s">
        <v>40</v>
      </c>
      <c r="B98" s="7" t="s">
        <v>15</v>
      </c>
      <c r="C98" s="7" t="s">
        <v>18</v>
      </c>
      <c r="D98" s="8">
        <v>1120</v>
      </c>
    </row>
    <row r="99" spans="1:4" x14ac:dyDescent="0.3">
      <c r="A99" s="6" t="s">
        <v>40</v>
      </c>
      <c r="B99" s="7" t="s">
        <v>15</v>
      </c>
      <c r="C99" s="7" t="s">
        <v>21</v>
      </c>
      <c r="D99" s="8">
        <v>2420</v>
      </c>
    </row>
    <row r="100" spans="1:4" x14ac:dyDescent="0.3">
      <c r="A100" s="6" t="s">
        <v>40</v>
      </c>
      <c r="B100" s="7" t="s">
        <v>15</v>
      </c>
      <c r="C100" s="7" t="s">
        <v>13</v>
      </c>
      <c r="D100" s="8">
        <v>3440</v>
      </c>
    </row>
    <row r="101" spans="1:4" x14ac:dyDescent="0.3">
      <c r="A101" s="6" t="s">
        <v>40</v>
      </c>
      <c r="B101" s="7" t="s">
        <v>15</v>
      </c>
      <c r="C101" s="7" t="s">
        <v>10</v>
      </c>
      <c r="D101" s="8">
        <v>1060</v>
      </c>
    </row>
    <row r="102" spans="1:4" x14ac:dyDescent="0.3">
      <c r="A102" s="6" t="s">
        <v>41</v>
      </c>
      <c r="B102" s="7" t="s">
        <v>12</v>
      </c>
      <c r="C102" s="7" t="s">
        <v>24</v>
      </c>
      <c r="D102" s="8">
        <v>5370</v>
      </c>
    </row>
    <row r="103" spans="1:4" x14ac:dyDescent="0.3">
      <c r="A103" s="6" t="s">
        <v>41</v>
      </c>
      <c r="B103" s="7" t="s">
        <v>12</v>
      </c>
      <c r="C103" s="7" t="s">
        <v>18</v>
      </c>
      <c r="D103" s="8">
        <v>1380</v>
      </c>
    </row>
    <row r="104" spans="1:4" x14ac:dyDescent="0.3">
      <c r="A104" s="6" t="s">
        <v>41</v>
      </c>
      <c r="B104" s="7" t="s">
        <v>12</v>
      </c>
      <c r="C104" s="7" t="s">
        <v>21</v>
      </c>
      <c r="D104" s="8">
        <v>3780</v>
      </c>
    </row>
    <row r="105" spans="1:4" x14ac:dyDescent="0.3">
      <c r="A105" s="6" t="s">
        <v>41</v>
      </c>
      <c r="B105" s="7" t="s">
        <v>12</v>
      </c>
      <c r="C105" s="7" t="s">
        <v>13</v>
      </c>
      <c r="D105" s="8">
        <v>3530</v>
      </c>
    </row>
    <row r="106" spans="1:4" x14ac:dyDescent="0.3">
      <c r="A106" s="6" t="s">
        <v>41</v>
      </c>
      <c r="B106" s="7" t="s">
        <v>12</v>
      </c>
      <c r="C106" s="7" t="s">
        <v>10</v>
      </c>
      <c r="D106" s="8">
        <v>570</v>
      </c>
    </row>
    <row r="107" spans="1:4" x14ac:dyDescent="0.3">
      <c r="A107" s="6" t="s">
        <v>41</v>
      </c>
      <c r="B107" s="7" t="s">
        <v>9</v>
      </c>
      <c r="C107" s="7" t="s">
        <v>24</v>
      </c>
      <c r="D107" s="8">
        <v>7560</v>
      </c>
    </row>
    <row r="108" spans="1:4" x14ac:dyDescent="0.3">
      <c r="A108" s="6" t="s">
        <v>41</v>
      </c>
      <c r="B108" s="7" t="s">
        <v>9</v>
      </c>
      <c r="C108" s="7" t="s">
        <v>18</v>
      </c>
      <c r="D108" s="8">
        <v>1350</v>
      </c>
    </row>
    <row r="109" spans="1:4" x14ac:dyDescent="0.3">
      <c r="A109" s="6" t="s">
        <v>41</v>
      </c>
      <c r="B109" s="7" t="s">
        <v>9</v>
      </c>
      <c r="C109" s="7" t="s">
        <v>21</v>
      </c>
      <c r="D109" s="8">
        <v>2870</v>
      </c>
    </row>
    <row r="110" spans="1:4" x14ac:dyDescent="0.3">
      <c r="A110" s="6" t="s">
        <v>41</v>
      </c>
      <c r="B110" s="7" t="s">
        <v>9</v>
      </c>
      <c r="C110" s="7" t="s">
        <v>13</v>
      </c>
      <c r="D110" s="8">
        <v>3100</v>
      </c>
    </row>
    <row r="111" spans="1:4" x14ac:dyDescent="0.3">
      <c r="A111" s="6" t="s">
        <v>41</v>
      </c>
      <c r="B111" s="7" t="s">
        <v>9</v>
      </c>
      <c r="C111" s="7" t="s">
        <v>10</v>
      </c>
      <c r="D111" s="8">
        <v>870</v>
      </c>
    </row>
    <row r="112" spans="1:4" x14ac:dyDescent="0.3">
      <c r="A112" s="6" t="s">
        <v>41</v>
      </c>
      <c r="B112" s="7" t="s">
        <v>17</v>
      </c>
      <c r="C112" s="7" t="s">
        <v>24</v>
      </c>
      <c r="D112" s="8">
        <v>6620</v>
      </c>
    </row>
    <row r="113" spans="1:4" x14ac:dyDescent="0.3">
      <c r="A113" s="6" t="s">
        <v>41</v>
      </c>
      <c r="B113" s="7" t="s">
        <v>17</v>
      </c>
      <c r="C113" s="7" t="s">
        <v>18</v>
      </c>
      <c r="D113" s="8">
        <v>1580</v>
      </c>
    </row>
    <row r="114" spans="1:4" x14ac:dyDescent="0.3">
      <c r="A114" s="6" t="s">
        <v>41</v>
      </c>
      <c r="B114" s="7" t="s">
        <v>17</v>
      </c>
      <c r="C114" s="7" t="s">
        <v>21</v>
      </c>
      <c r="D114" s="8">
        <v>1270</v>
      </c>
    </row>
    <row r="115" spans="1:4" x14ac:dyDescent="0.3">
      <c r="A115" s="6" t="s">
        <v>41</v>
      </c>
      <c r="B115" s="7" t="s">
        <v>17</v>
      </c>
      <c r="C115" s="7" t="s">
        <v>13</v>
      </c>
      <c r="D115" s="8">
        <v>3290</v>
      </c>
    </row>
    <row r="116" spans="1:4" x14ac:dyDescent="0.3">
      <c r="A116" s="6" t="s">
        <v>41</v>
      </c>
      <c r="B116" s="7" t="s">
        <v>17</v>
      </c>
      <c r="C116" s="7" t="s">
        <v>10</v>
      </c>
      <c r="D116" s="8">
        <v>1270</v>
      </c>
    </row>
    <row r="117" spans="1:4" x14ac:dyDescent="0.3">
      <c r="A117" s="6" t="s">
        <v>41</v>
      </c>
      <c r="B117" s="7" t="s">
        <v>15</v>
      </c>
      <c r="C117" s="7" t="s">
        <v>24</v>
      </c>
      <c r="D117" s="8">
        <v>3970</v>
      </c>
    </row>
    <row r="118" spans="1:4" x14ac:dyDescent="0.3">
      <c r="A118" s="6" t="s">
        <v>41</v>
      </c>
      <c r="B118" s="7" t="s">
        <v>15</v>
      </c>
      <c r="C118" s="7" t="s">
        <v>18</v>
      </c>
      <c r="D118" s="8">
        <v>1130</v>
      </c>
    </row>
    <row r="119" spans="1:4" x14ac:dyDescent="0.3">
      <c r="A119" s="6" t="s">
        <v>41</v>
      </c>
      <c r="B119" s="7" t="s">
        <v>15</v>
      </c>
      <c r="C119" s="7" t="s">
        <v>21</v>
      </c>
      <c r="D119" s="8">
        <v>2440</v>
      </c>
    </row>
    <row r="120" spans="1:4" x14ac:dyDescent="0.3">
      <c r="A120" s="6" t="s">
        <v>41</v>
      </c>
      <c r="B120" s="7" t="s">
        <v>15</v>
      </c>
      <c r="C120" s="7" t="s">
        <v>13</v>
      </c>
      <c r="D120" s="8">
        <v>3480</v>
      </c>
    </row>
    <row r="121" spans="1:4" x14ac:dyDescent="0.3">
      <c r="A121" s="6" t="s">
        <v>41</v>
      </c>
      <c r="B121" s="7" t="s">
        <v>15</v>
      </c>
      <c r="C121" s="7" t="s">
        <v>10</v>
      </c>
      <c r="D121" s="8">
        <v>1070</v>
      </c>
    </row>
    <row r="122" spans="1:4" x14ac:dyDescent="0.3">
      <c r="A122" s="6" t="s">
        <v>42</v>
      </c>
      <c r="B122" s="7" t="s">
        <v>12</v>
      </c>
      <c r="C122" s="7" t="s">
        <v>24</v>
      </c>
      <c r="D122" s="8">
        <v>5420</v>
      </c>
    </row>
    <row r="123" spans="1:4" x14ac:dyDescent="0.3">
      <c r="A123" s="6" t="s">
        <v>42</v>
      </c>
      <c r="B123" s="7" t="s">
        <v>12</v>
      </c>
      <c r="C123" s="7" t="s">
        <v>18</v>
      </c>
      <c r="D123" s="8">
        <v>1390</v>
      </c>
    </row>
    <row r="124" spans="1:4" x14ac:dyDescent="0.3">
      <c r="A124" s="6" t="s">
        <v>42</v>
      </c>
      <c r="B124" s="7" t="s">
        <v>12</v>
      </c>
      <c r="C124" s="7" t="s">
        <v>21</v>
      </c>
      <c r="D124" s="8">
        <v>3820</v>
      </c>
    </row>
    <row r="125" spans="1:4" x14ac:dyDescent="0.3">
      <c r="A125" s="6" t="s">
        <v>42</v>
      </c>
      <c r="B125" s="7" t="s">
        <v>12</v>
      </c>
      <c r="C125" s="7" t="s">
        <v>13</v>
      </c>
      <c r="D125" s="8">
        <v>3560</v>
      </c>
    </row>
    <row r="126" spans="1:4" x14ac:dyDescent="0.3">
      <c r="A126" s="6" t="s">
        <v>42</v>
      </c>
      <c r="B126" s="7" t="s">
        <v>12</v>
      </c>
      <c r="C126" s="7" t="s">
        <v>10</v>
      </c>
      <c r="D126" s="8">
        <v>580</v>
      </c>
    </row>
    <row r="127" spans="1:4" x14ac:dyDescent="0.3">
      <c r="A127" s="6" t="s">
        <v>42</v>
      </c>
      <c r="B127" s="7" t="s">
        <v>9</v>
      </c>
      <c r="C127" s="7" t="s">
        <v>24</v>
      </c>
      <c r="D127" s="8">
        <v>7630</v>
      </c>
    </row>
    <row r="128" spans="1:4" x14ac:dyDescent="0.3">
      <c r="A128" s="6" t="s">
        <v>42</v>
      </c>
      <c r="B128" s="7" t="s">
        <v>9</v>
      </c>
      <c r="C128" s="7" t="s">
        <v>18</v>
      </c>
      <c r="D128" s="8">
        <v>1360</v>
      </c>
    </row>
    <row r="129" spans="1:4" x14ac:dyDescent="0.3">
      <c r="A129" s="6" t="s">
        <v>42</v>
      </c>
      <c r="B129" s="7" t="s">
        <v>9</v>
      </c>
      <c r="C129" s="7" t="s">
        <v>21</v>
      </c>
      <c r="D129" s="8">
        <v>2900</v>
      </c>
    </row>
    <row r="130" spans="1:4" x14ac:dyDescent="0.3">
      <c r="A130" s="6" t="s">
        <v>42</v>
      </c>
      <c r="B130" s="7" t="s">
        <v>9</v>
      </c>
      <c r="C130" s="7" t="s">
        <v>13</v>
      </c>
      <c r="D130" s="8">
        <v>3130</v>
      </c>
    </row>
    <row r="131" spans="1:4" x14ac:dyDescent="0.3">
      <c r="A131" s="6" t="s">
        <v>42</v>
      </c>
      <c r="B131" s="7" t="s">
        <v>9</v>
      </c>
      <c r="C131" s="7" t="s">
        <v>10</v>
      </c>
      <c r="D131" s="8">
        <v>880</v>
      </c>
    </row>
    <row r="132" spans="1:4" x14ac:dyDescent="0.3">
      <c r="A132" s="6" t="s">
        <v>42</v>
      </c>
      <c r="B132" s="7" t="s">
        <v>17</v>
      </c>
      <c r="C132" s="7" t="s">
        <v>24</v>
      </c>
      <c r="D132" s="8">
        <v>6680</v>
      </c>
    </row>
    <row r="133" spans="1:4" x14ac:dyDescent="0.3">
      <c r="A133" s="6" t="s">
        <v>42</v>
      </c>
      <c r="B133" s="7" t="s">
        <v>17</v>
      </c>
      <c r="C133" s="7" t="s">
        <v>18</v>
      </c>
      <c r="D133" s="8">
        <v>1590</v>
      </c>
    </row>
    <row r="134" spans="1:4" x14ac:dyDescent="0.3">
      <c r="A134" s="6" t="s">
        <v>42</v>
      </c>
      <c r="B134" s="7" t="s">
        <v>17</v>
      </c>
      <c r="C134" s="7" t="s">
        <v>21</v>
      </c>
      <c r="D134" s="8">
        <v>1280</v>
      </c>
    </row>
    <row r="135" spans="1:4" x14ac:dyDescent="0.3">
      <c r="A135" s="6" t="s">
        <v>42</v>
      </c>
      <c r="B135" s="7" t="s">
        <v>17</v>
      </c>
      <c r="C135" s="7" t="s">
        <v>13</v>
      </c>
      <c r="D135" s="8">
        <v>3330</v>
      </c>
    </row>
    <row r="136" spans="1:4" x14ac:dyDescent="0.3">
      <c r="A136" s="6" t="s">
        <v>42</v>
      </c>
      <c r="B136" s="7" t="s">
        <v>17</v>
      </c>
      <c r="C136" s="7" t="s">
        <v>10</v>
      </c>
      <c r="D136" s="8">
        <v>1280</v>
      </c>
    </row>
    <row r="137" spans="1:4" x14ac:dyDescent="0.3">
      <c r="A137" s="6" t="s">
        <v>42</v>
      </c>
      <c r="B137" s="7" t="s">
        <v>15</v>
      </c>
      <c r="C137" s="7" t="s">
        <v>24</v>
      </c>
      <c r="D137" s="8">
        <v>4010</v>
      </c>
    </row>
    <row r="138" spans="1:4" x14ac:dyDescent="0.3">
      <c r="A138" s="6" t="s">
        <v>42</v>
      </c>
      <c r="B138" s="7" t="s">
        <v>15</v>
      </c>
      <c r="C138" s="7" t="s">
        <v>18</v>
      </c>
      <c r="D138" s="8">
        <v>1140</v>
      </c>
    </row>
    <row r="139" spans="1:4" x14ac:dyDescent="0.3">
      <c r="A139" s="6" t="s">
        <v>42</v>
      </c>
      <c r="B139" s="7" t="s">
        <v>15</v>
      </c>
      <c r="C139" s="7" t="s">
        <v>21</v>
      </c>
      <c r="D139" s="8">
        <v>2470</v>
      </c>
    </row>
    <row r="140" spans="1:4" x14ac:dyDescent="0.3">
      <c r="A140" s="6" t="s">
        <v>42</v>
      </c>
      <c r="B140" s="7" t="s">
        <v>15</v>
      </c>
      <c r="C140" s="7" t="s">
        <v>13</v>
      </c>
      <c r="D140" s="8">
        <v>3510</v>
      </c>
    </row>
    <row r="141" spans="1:4" x14ac:dyDescent="0.3">
      <c r="A141" s="6" t="s">
        <v>42</v>
      </c>
      <c r="B141" s="7" t="s">
        <v>15</v>
      </c>
      <c r="C141" s="7" t="s">
        <v>10</v>
      </c>
      <c r="D141" s="8">
        <v>1080</v>
      </c>
    </row>
    <row r="142" spans="1:4" x14ac:dyDescent="0.3">
      <c r="A142" s="6" t="s">
        <v>43</v>
      </c>
      <c r="B142" s="7" t="s">
        <v>12</v>
      </c>
      <c r="C142" s="7" t="s">
        <v>24</v>
      </c>
      <c r="D142" s="8">
        <v>5480</v>
      </c>
    </row>
    <row r="143" spans="1:4" x14ac:dyDescent="0.3">
      <c r="A143" s="6" t="s">
        <v>43</v>
      </c>
      <c r="B143" s="7" t="s">
        <v>12</v>
      </c>
      <c r="C143" s="7" t="s">
        <v>18</v>
      </c>
      <c r="D143" s="8">
        <v>1410</v>
      </c>
    </row>
    <row r="144" spans="1:4" x14ac:dyDescent="0.3">
      <c r="A144" s="6" t="s">
        <v>43</v>
      </c>
      <c r="B144" s="7" t="s">
        <v>12</v>
      </c>
      <c r="C144" s="7" t="s">
        <v>21</v>
      </c>
      <c r="D144" s="8">
        <v>3860</v>
      </c>
    </row>
    <row r="145" spans="1:4" x14ac:dyDescent="0.3">
      <c r="A145" s="6" t="s">
        <v>43</v>
      </c>
      <c r="B145" s="7" t="s">
        <v>12</v>
      </c>
      <c r="C145" s="7" t="s">
        <v>13</v>
      </c>
      <c r="D145" s="8">
        <v>3600</v>
      </c>
    </row>
    <row r="146" spans="1:4" x14ac:dyDescent="0.3">
      <c r="A146" s="6" t="s">
        <v>43</v>
      </c>
      <c r="B146" s="7" t="s">
        <v>12</v>
      </c>
      <c r="C146" s="7" t="s">
        <v>10</v>
      </c>
      <c r="D146" s="8">
        <v>580</v>
      </c>
    </row>
    <row r="147" spans="1:4" x14ac:dyDescent="0.3">
      <c r="A147" s="6" t="s">
        <v>43</v>
      </c>
      <c r="B147" s="7" t="s">
        <v>9</v>
      </c>
      <c r="C147" s="7" t="s">
        <v>24</v>
      </c>
      <c r="D147" s="8">
        <v>7710</v>
      </c>
    </row>
    <row r="148" spans="1:4" x14ac:dyDescent="0.3">
      <c r="A148" s="6" t="s">
        <v>43</v>
      </c>
      <c r="B148" s="7" t="s">
        <v>9</v>
      </c>
      <c r="C148" s="7" t="s">
        <v>18</v>
      </c>
      <c r="D148" s="8">
        <v>1370</v>
      </c>
    </row>
    <row r="149" spans="1:4" x14ac:dyDescent="0.3">
      <c r="A149" s="6" t="s">
        <v>43</v>
      </c>
      <c r="B149" s="7" t="s">
        <v>9</v>
      </c>
      <c r="C149" s="7" t="s">
        <v>21</v>
      </c>
      <c r="D149" s="8">
        <v>2930</v>
      </c>
    </row>
    <row r="150" spans="1:4" x14ac:dyDescent="0.3">
      <c r="A150" s="6" t="s">
        <v>43</v>
      </c>
      <c r="B150" s="7" t="s">
        <v>9</v>
      </c>
      <c r="C150" s="7" t="s">
        <v>13</v>
      </c>
      <c r="D150" s="8">
        <v>3160</v>
      </c>
    </row>
    <row r="151" spans="1:4" x14ac:dyDescent="0.3">
      <c r="A151" s="6" t="s">
        <v>43</v>
      </c>
      <c r="B151" s="7" t="s">
        <v>9</v>
      </c>
      <c r="C151" s="7" t="s">
        <v>10</v>
      </c>
      <c r="D151" s="8">
        <v>890</v>
      </c>
    </row>
    <row r="152" spans="1:4" x14ac:dyDescent="0.3">
      <c r="A152" s="6" t="s">
        <v>43</v>
      </c>
      <c r="B152" s="7" t="s">
        <v>17</v>
      </c>
      <c r="C152" s="7" t="s">
        <v>24</v>
      </c>
      <c r="D152" s="8">
        <v>6750</v>
      </c>
    </row>
    <row r="153" spans="1:4" x14ac:dyDescent="0.3">
      <c r="A153" s="6" t="s">
        <v>43</v>
      </c>
      <c r="B153" s="7" t="s">
        <v>17</v>
      </c>
      <c r="C153" s="7" t="s">
        <v>18</v>
      </c>
      <c r="D153" s="8">
        <v>1610</v>
      </c>
    </row>
    <row r="154" spans="1:4" x14ac:dyDescent="0.3">
      <c r="A154" s="6" t="s">
        <v>43</v>
      </c>
      <c r="B154" s="7" t="s">
        <v>17</v>
      </c>
      <c r="C154" s="7" t="s">
        <v>21</v>
      </c>
      <c r="D154" s="8">
        <v>1290</v>
      </c>
    </row>
    <row r="155" spans="1:4" x14ac:dyDescent="0.3">
      <c r="A155" s="6" t="s">
        <v>43</v>
      </c>
      <c r="B155" s="7" t="s">
        <v>17</v>
      </c>
      <c r="C155" s="7" t="s">
        <v>13</v>
      </c>
      <c r="D155" s="8">
        <v>3360</v>
      </c>
    </row>
    <row r="156" spans="1:4" x14ac:dyDescent="0.3">
      <c r="A156" s="6" t="s">
        <v>43</v>
      </c>
      <c r="B156" s="7" t="s">
        <v>17</v>
      </c>
      <c r="C156" s="7" t="s">
        <v>10</v>
      </c>
      <c r="D156" s="8">
        <v>1300</v>
      </c>
    </row>
    <row r="157" spans="1:4" x14ac:dyDescent="0.3">
      <c r="A157" s="6" t="s">
        <v>43</v>
      </c>
      <c r="B157" s="7" t="s">
        <v>15</v>
      </c>
      <c r="C157" s="7" t="s">
        <v>24</v>
      </c>
      <c r="D157" s="8">
        <v>4040</v>
      </c>
    </row>
    <row r="158" spans="1:4" x14ac:dyDescent="0.3">
      <c r="A158" s="6" t="s">
        <v>43</v>
      </c>
      <c r="B158" s="7" t="s">
        <v>15</v>
      </c>
      <c r="C158" s="7" t="s">
        <v>18</v>
      </c>
      <c r="D158" s="8">
        <v>1150</v>
      </c>
    </row>
    <row r="159" spans="1:4" x14ac:dyDescent="0.3">
      <c r="A159" s="6" t="s">
        <v>43</v>
      </c>
      <c r="B159" s="7" t="s">
        <v>15</v>
      </c>
      <c r="C159" s="7" t="s">
        <v>21</v>
      </c>
      <c r="D159" s="8">
        <v>2490</v>
      </c>
    </row>
    <row r="160" spans="1:4" x14ac:dyDescent="0.3">
      <c r="A160" s="6" t="s">
        <v>43</v>
      </c>
      <c r="B160" s="7" t="s">
        <v>15</v>
      </c>
      <c r="C160" s="7" t="s">
        <v>13</v>
      </c>
      <c r="D160" s="8">
        <v>3540</v>
      </c>
    </row>
    <row r="161" spans="1:4" x14ac:dyDescent="0.3">
      <c r="A161" s="6" t="s">
        <v>43</v>
      </c>
      <c r="B161" s="7" t="s">
        <v>15</v>
      </c>
      <c r="C161" s="7" t="s">
        <v>10</v>
      </c>
      <c r="D161" s="8">
        <v>1090</v>
      </c>
    </row>
    <row r="162" spans="1:4" x14ac:dyDescent="0.3">
      <c r="A162" s="6" t="s">
        <v>28</v>
      </c>
      <c r="B162" s="7" t="s">
        <v>12</v>
      </c>
      <c r="C162" s="7" t="s">
        <v>24</v>
      </c>
      <c r="D162" s="8">
        <v>5530</v>
      </c>
    </row>
    <row r="163" spans="1:4" x14ac:dyDescent="0.3">
      <c r="A163" s="6" t="s">
        <v>28</v>
      </c>
      <c r="B163" s="7" t="s">
        <v>12</v>
      </c>
      <c r="C163" s="7" t="s">
        <v>18</v>
      </c>
      <c r="D163" s="8">
        <v>1420</v>
      </c>
    </row>
    <row r="164" spans="1:4" x14ac:dyDescent="0.3">
      <c r="A164" s="6" t="s">
        <v>28</v>
      </c>
      <c r="B164" s="7" t="s">
        <v>12</v>
      </c>
      <c r="C164" s="7" t="s">
        <v>21</v>
      </c>
      <c r="D164" s="8">
        <v>3890</v>
      </c>
    </row>
    <row r="165" spans="1:4" x14ac:dyDescent="0.3">
      <c r="A165" s="6" t="s">
        <v>28</v>
      </c>
      <c r="B165" s="7" t="s">
        <v>12</v>
      </c>
      <c r="C165" s="7" t="s">
        <v>13</v>
      </c>
      <c r="D165" s="8">
        <v>3630</v>
      </c>
    </row>
    <row r="166" spans="1:4" x14ac:dyDescent="0.3">
      <c r="A166" s="6" t="s">
        <v>28</v>
      </c>
      <c r="B166" s="7" t="s">
        <v>12</v>
      </c>
      <c r="C166" s="7" t="s">
        <v>10</v>
      </c>
      <c r="D166" s="8">
        <v>590</v>
      </c>
    </row>
    <row r="167" spans="1:4" x14ac:dyDescent="0.3">
      <c r="A167" s="6" t="s">
        <v>28</v>
      </c>
      <c r="B167" s="7" t="s">
        <v>9</v>
      </c>
      <c r="C167" s="7" t="s">
        <v>24</v>
      </c>
      <c r="D167" s="8">
        <v>7780</v>
      </c>
    </row>
    <row r="168" spans="1:4" x14ac:dyDescent="0.3">
      <c r="A168" s="6" t="s">
        <v>28</v>
      </c>
      <c r="B168" s="7" t="s">
        <v>9</v>
      </c>
      <c r="C168" s="7" t="s">
        <v>18</v>
      </c>
      <c r="D168" s="8">
        <v>1380</v>
      </c>
    </row>
    <row r="169" spans="1:4" x14ac:dyDescent="0.3">
      <c r="A169" s="6" t="s">
        <v>28</v>
      </c>
      <c r="B169" s="7" t="s">
        <v>9</v>
      </c>
      <c r="C169" s="7" t="s">
        <v>21</v>
      </c>
      <c r="D169" s="8">
        <v>2950</v>
      </c>
    </row>
    <row r="170" spans="1:4" x14ac:dyDescent="0.3">
      <c r="A170" s="6" t="s">
        <v>28</v>
      </c>
      <c r="B170" s="7" t="s">
        <v>9</v>
      </c>
      <c r="C170" s="7" t="s">
        <v>13</v>
      </c>
      <c r="D170" s="8">
        <v>3190</v>
      </c>
    </row>
    <row r="171" spans="1:4" x14ac:dyDescent="0.3">
      <c r="A171" s="6" t="s">
        <v>28</v>
      </c>
      <c r="B171" s="7" t="s">
        <v>9</v>
      </c>
      <c r="C171" s="7" t="s">
        <v>10</v>
      </c>
      <c r="D171" s="8">
        <v>900</v>
      </c>
    </row>
    <row r="172" spans="1:4" x14ac:dyDescent="0.3">
      <c r="A172" s="6" t="s">
        <v>28</v>
      </c>
      <c r="B172" s="7" t="s">
        <v>17</v>
      </c>
      <c r="C172" s="7" t="s">
        <v>24</v>
      </c>
      <c r="D172" s="8">
        <v>6810</v>
      </c>
    </row>
    <row r="173" spans="1:4" x14ac:dyDescent="0.3">
      <c r="A173" s="6" t="s">
        <v>28</v>
      </c>
      <c r="B173" s="7" t="s">
        <v>17</v>
      </c>
      <c r="C173" s="7" t="s">
        <v>18</v>
      </c>
      <c r="D173" s="8">
        <v>1620</v>
      </c>
    </row>
    <row r="174" spans="1:4" x14ac:dyDescent="0.3">
      <c r="A174" s="6" t="s">
        <v>28</v>
      </c>
      <c r="B174" s="7" t="s">
        <v>17</v>
      </c>
      <c r="C174" s="7" t="s">
        <v>21</v>
      </c>
      <c r="D174" s="8">
        <v>1300</v>
      </c>
    </row>
    <row r="175" spans="1:4" x14ac:dyDescent="0.3">
      <c r="A175" s="6" t="s">
        <v>28</v>
      </c>
      <c r="B175" s="7" t="s">
        <v>17</v>
      </c>
      <c r="C175" s="7" t="s">
        <v>13</v>
      </c>
      <c r="D175" s="8">
        <v>3390</v>
      </c>
    </row>
    <row r="176" spans="1:4" x14ac:dyDescent="0.3">
      <c r="A176" s="6" t="s">
        <v>28</v>
      </c>
      <c r="B176" s="7" t="s">
        <v>17</v>
      </c>
      <c r="C176" s="7" t="s">
        <v>10</v>
      </c>
      <c r="D176" s="8">
        <v>1310</v>
      </c>
    </row>
    <row r="177" spans="1:4" x14ac:dyDescent="0.3">
      <c r="A177" s="6" t="s">
        <v>28</v>
      </c>
      <c r="B177" s="7" t="s">
        <v>15</v>
      </c>
      <c r="C177" s="7" t="s">
        <v>24</v>
      </c>
      <c r="D177" s="8">
        <v>4080</v>
      </c>
    </row>
    <row r="178" spans="1:4" x14ac:dyDescent="0.3">
      <c r="A178" s="6" t="s">
        <v>28</v>
      </c>
      <c r="B178" s="7" t="s">
        <v>15</v>
      </c>
      <c r="C178" s="7" t="s">
        <v>18</v>
      </c>
      <c r="D178" s="8">
        <v>1160</v>
      </c>
    </row>
    <row r="179" spans="1:4" x14ac:dyDescent="0.3">
      <c r="A179" s="6" t="s">
        <v>28</v>
      </c>
      <c r="B179" s="7" t="s">
        <v>15</v>
      </c>
      <c r="C179" s="7" t="s">
        <v>21</v>
      </c>
      <c r="D179" s="8">
        <v>2510</v>
      </c>
    </row>
    <row r="180" spans="1:4" x14ac:dyDescent="0.3">
      <c r="A180" s="6" t="s">
        <v>28</v>
      </c>
      <c r="B180" s="7" t="s">
        <v>15</v>
      </c>
      <c r="C180" s="7" t="s">
        <v>13</v>
      </c>
      <c r="D180" s="8">
        <v>3580</v>
      </c>
    </row>
    <row r="181" spans="1:4" x14ac:dyDescent="0.3">
      <c r="A181" s="6" t="s">
        <v>28</v>
      </c>
      <c r="B181" s="7" t="s">
        <v>15</v>
      </c>
      <c r="C181" s="7" t="s">
        <v>10</v>
      </c>
      <c r="D181" s="8">
        <v>1100</v>
      </c>
    </row>
    <row r="182" spans="1:4" x14ac:dyDescent="0.3">
      <c r="A182" s="6" t="s">
        <v>44</v>
      </c>
      <c r="B182" s="7" t="s">
        <v>12</v>
      </c>
      <c r="C182" s="7" t="s">
        <v>24</v>
      </c>
      <c r="D182" s="8">
        <v>5580</v>
      </c>
    </row>
    <row r="183" spans="1:4" x14ac:dyDescent="0.3">
      <c r="A183" s="6" t="s">
        <v>44</v>
      </c>
      <c r="B183" s="7" t="s">
        <v>12</v>
      </c>
      <c r="C183" s="7" t="s">
        <v>18</v>
      </c>
      <c r="D183" s="8">
        <v>1430</v>
      </c>
    </row>
    <row r="184" spans="1:4" x14ac:dyDescent="0.3">
      <c r="A184" s="6" t="s">
        <v>44</v>
      </c>
      <c r="B184" s="7" t="s">
        <v>12</v>
      </c>
      <c r="C184" s="7" t="s">
        <v>21</v>
      </c>
      <c r="D184" s="8">
        <v>3930</v>
      </c>
    </row>
    <row r="185" spans="1:4" x14ac:dyDescent="0.3">
      <c r="A185" s="6" t="s">
        <v>44</v>
      </c>
      <c r="B185" s="7" t="s">
        <v>12</v>
      </c>
      <c r="C185" s="7" t="s">
        <v>13</v>
      </c>
      <c r="D185" s="8">
        <v>3660</v>
      </c>
    </row>
    <row r="186" spans="1:4" x14ac:dyDescent="0.3">
      <c r="A186" s="6" t="s">
        <v>44</v>
      </c>
      <c r="B186" s="7" t="s">
        <v>12</v>
      </c>
      <c r="C186" s="7" t="s">
        <v>10</v>
      </c>
      <c r="D186" s="8">
        <v>590</v>
      </c>
    </row>
    <row r="187" spans="1:4" x14ac:dyDescent="0.3">
      <c r="A187" s="6" t="s">
        <v>44</v>
      </c>
      <c r="B187" s="7" t="s">
        <v>9</v>
      </c>
      <c r="C187" s="7" t="s">
        <v>24</v>
      </c>
      <c r="D187" s="8">
        <v>7850</v>
      </c>
    </row>
    <row r="188" spans="1:4" x14ac:dyDescent="0.3">
      <c r="A188" s="6" t="s">
        <v>44</v>
      </c>
      <c r="B188" s="7" t="s">
        <v>9</v>
      </c>
      <c r="C188" s="7" t="s">
        <v>18</v>
      </c>
      <c r="D188" s="8">
        <v>1400</v>
      </c>
    </row>
    <row r="189" spans="1:4" x14ac:dyDescent="0.3">
      <c r="A189" s="6" t="s">
        <v>44</v>
      </c>
      <c r="B189" s="7" t="s">
        <v>9</v>
      </c>
      <c r="C189" s="7" t="s">
        <v>21</v>
      </c>
      <c r="D189" s="8">
        <v>2980</v>
      </c>
    </row>
    <row r="190" spans="1:4" x14ac:dyDescent="0.3">
      <c r="A190" s="6" t="s">
        <v>44</v>
      </c>
      <c r="B190" s="7" t="s">
        <v>9</v>
      </c>
      <c r="C190" s="7" t="s">
        <v>13</v>
      </c>
      <c r="D190" s="8">
        <v>3220</v>
      </c>
    </row>
    <row r="191" spans="1:4" x14ac:dyDescent="0.3">
      <c r="A191" s="6" t="s">
        <v>44</v>
      </c>
      <c r="B191" s="7" t="s">
        <v>9</v>
      </c>
      <c r="C191" s="7" t="s">
        <v>10</v>
      </c>
      <c r="D191" s="8">
        <v>910</v>
      </c>
    </row>
    <row r="192" spans="1:4" x14ac:dyDescent="0.3">
      <c r="A192" s="6" t="s">
        <v>44</v>
      </c>
      <c r="B192" s="7" t="s">
        <v>17</v>
      </c>
      <c r="C192" s="7" t="s">
        <v>24</v>
      </c>
      <c r="D192" s="8">
        <v>6870</v>
      </c>
    </row>
    <row r="193" spans="1:4" x14ac:dyDescent="0.3">
      <c r="A193" s="6" t="s">
        <v>44</v>
      </c>
      <c r="B193" s="7" t="s">
        <v>17</v>
      </c>
      <c r="C193" s="7" t="s">
        <v>18</v>
      </c>
      <c r="D193" s="8">
        <v>1640</v>
      </c>
    </row>
    <row r="194" spans="1:4" x14ac:dyDescent="0.3">
      <c r="A194" s="6" t="s">
        <v>44</v>
      </c>
      <c r="B194" s="7" t="s">
        <v>17</v>
      </c>
      <c r="C194" s="7" t="s">
        <v>21</v>
      </c>
      <c r="D194" s="8">
        <v>1320</v>
      </c>
    </row>
    <row r="195" spans="1:4" x14ac:dyDescent="0.3">
      <c r="A195" s="6" t="s">
        <v>44</v>
      </c>
      <c r="B195" s="7" t="s">
        <v>17</v>
      </c>
      <c r="C195" s="7" t="s">
        <v>13</v>
      </c>
      <c r="D195" s="8">
        <v>3420</v>
      </c>
    </row>
    <row r="196" spans="1:4" x14ac:dyDescent="0.3">
      <c r="A196" s="6" t="s">
        <v>44</v>
      </c>
      <c r="B196" s="7" t="s">
        <v>17</v>
      </c>
      <c r="C196" s="7" t="s">
        <v>10</v>
      </c>
      <c r="D196" s="8">
        <v>1320</v>
      </c>
    </row>
    <row r="197" spans="1:4" x14ac:dyDescent="0.3">
      <c r="A197" s="6" t="s">
        <v>44</v>
      </c>
      <c r="B197" s="7" t="s">
        <v>15</v>
      </c>
      <c r="C197" s="7" t="s">
        <v>24</v>
      </c>
      <c r="D197" s="8">
        <v>4120</v>
      </c>
    </row>
    <row r="198" spans="1:4" x14ac:dyDescent="0.3">
      <c r="A198" s="6" t="s">
        <v>44</v>
      </c>
      <c r="B198" s="7" t="s">
        <v>15</v>
      </c>
      <c r="C198" s="7" t="s">
        <v>18</v>
      </c>
      <c r="D198" s="8">
        <v>1180</v>
      </c>
    </row>
    <row r="199" spans="1:4" x14ac:dyDescent="0.3">
      <c r="A199" s="6" t="s">
        <v>44</v>
      </c>
      <c r="B199" s="7" t="s">
        <v>15</v>
      </c>
      <c r="C199" s="7" t="s">
        <v>21</v>
      </c>
      <c r="D199" s="8">
        <v>2540</v>
      </c>
    </row>
    <row r="200" spans="1:4" x14ac:dyDescent="0.3">
      <c r="A200" s="6" t="s">
        <v>44</v>
      </c>
      <c r="B200" s="7" t="s">
        <v>15</v>
      </c>
      <c r="C200" s="7" t="s">
        <v>13</v>
      </c>
      <c r="D200" s="8">
        <v>3610</v>
      </c>
    </row>
    <row r="201" spans="1:4" x14ac:dyDescent="0.3">
      <c r="A201" s="6" t="s">
        <v>44</v>
      </c>
      <c r="B201" s="7" t="s">
        <v>15</v>
      </c>
      <c r="C201" s="7" t="s">
        <v>10</v>
      </c>
      <c r="D201" s="8">
        <v>1110</v>
      </c>
    </row>
    <row r="202" spans="1:4" x14ac:dyDescent="0.3">
      <c r="A202" s="6" t="s">
        <v>45</v>
      </c>
      <c r="B202" s="7" t="s">
        <v>12</v>
      </c>
      <c r="C202" s="7" t="s">
        <v>24</v>
      </c>
      <c r="D202" s="8">
        <v>6760</v>
      </c>
    </row>
    <row r="203" spans="1:4" x14ac:dyDescent="0.3">
      <c r="A203" s="6" t="s">
        <v>45</v>
      </c>
      <c r="B203" s="7" t="s">
        <v>12</v>
      </c>
      <c r="C203" s="7" t="s">
        <v>18</v>
      </c>
      <c r="D203" s="8">
        <v>1730</v>
      </c>
    </row>
    <row r="204" spans="1:4" x14ac:dyDescent="0.3">
      <c r="A204" s="6" t="s">
        <v>45</v>
      </c>
      <c r="B204" s="7" t="s">
        <v>12</v>
      </c>
      <c r="C204" s="7" t="s">
        <v>21</v>
      </c>
      <c r="D204" s="8">
        <v>4760</v>
      </c>
    </row>
    <row r="205" spans="1:4" x14ac:dyDescent="0.3">
      <c r="A205" s="6" t="s">
        <v>45</v>
      </c>
      <c r="B205" s="7" t="s">
        <v>12</v>
      </c>
      <c r="C205" s="7" t="s">
        <v>13</v>
      </c>
      <c r="D205" s="8">
        <v>4440</v>
      </c>
    </row>
    <row r="206" spans="1:4" x14ac:dyDescent="0.3">
      <c r="A206" s="6" t="s">
        <v>45</v>
      </c>
      <c r="B206" s="7" t="s">
        <v>12</v>
      </c>
      <c r="C206" s="7" t="s">
        <v>10</v>
      </c>
      <c r="D206" s="8">
        <v>720</v>
      </c>
    </row>
    <row r="207" spans="1:4" x14ac:dyDescent="0.3">
      <c r="A207" s="6" t="s">
        <v>45</v>
      </c>
      <c r="B207" s="7" t="s">
        <v>9</v>
      </c>
      <c r="C207" s="7" t="s">
        <v>24</v>
      </c>
      <c r="D207" s="8">
        <v>9510</v>
      </c>
    </row>
    <row r="208" spans="1:4" x14ac:dyDescent="0.3">
      <c r="A208" s="6" t="s">
        <v>45</v>
      </c>
      <c r="B208" s="7" t="s">
        <v>9</v>
      </c>
      <c r="C208" s="7" t="s">
        <v>18</v>
      </c>
      <c r="D208" s="8">
        <v>1690</v>
      </c>
    </row>
    <row r="209" spans="1:4" x14ac:dyDescent="0.3">
      <c r="A209" s="6" t="s">
        <v>45</v>
      </c>
      <c r="B209" s="7" t="s">
        <v>9</v>
      </c>
      <c r="C209" s="7" t="s">
        <v>21</v>
      </c>
      <c r="D209" s="8">
        <v>3610</v>
      </c>
    </row>
    <row r="210" spans="1:4" x14ac:dyDescent="0.3">
      <c r="A210" s="6" t="s">
        <v>45</v>
      </c>
      <c r="B210" s="7" t="s">
        <v>9</v>
      </c>
      <c r="C210" s="7" t="s">
        <v>13</v>
      </c>
      <c r="D210" s="8">
        <v>3900</v>
      </c>
    </row>
    <row r="211" spans="1:4" x14ac:dyDescent="0.3">
      <c r="A211" s="6" t="s">
        <v>45</v>
      </c>
      <c r="B211" s="7" t="s">
        <v>9</v>
      </c>
      <c r="C211" s="7" t="s">
        <v>10</v>
      </c>
      <c r="D211" s="8">
        <v>1100</v>
      </c>
    </row>
    <row r="212" spans="1:4" x14ac:dyDescent="0.3">
      <c r="A212" s="6" t="s">
        <v>45</v>
      </c>
      <c r="B212" s="7" t="s">
        <v>17</v>
      </c>
      <c r="C212" s="7" t="s">
        <v>24</v>
      </c>
      <c r="D212" s="8">
        <v>8320</v>
      </c>
    </row>
    <row r="213" spans="1:4" x14ac:dyDescent="0.3">
      <c r="A213" s="6" t="s">
        <v>45</v>
      </c>
      <c r="B213" s="7" t="s">
        <v>17</v>
      </c>
      <c r="C213" s="7" t="s">
        <v>18</v>
      </c>
      <c r="D213" s="8">
        <v>1980</v>
      </c>
    </row>
    <row r="214" spans="1:4" x14ac:dyDescent="0.3">
      <c r="A214" s="6" t="s">
        <v>45</v>
      </c>
      <c r="B214" s="7" t="s">
        <v>17</v>
      </c>
      <c r="C214" s="7" t="s">
        <v>21</v>
      </c>
      <c r="D214" s="8">
        <v>1590</v>
      </c>
    </row>
    <row r="215" spans="1:4" x14ac:dyDescent="0.3">
      <c r="A215" s="6" t="s">
        <v>45</v>
      </c>
      <c r="B215" s="7" t="s">
        <v>17</v>
      </c>
      <c r="C215" s="7" t="s">
        <v>13</v>
      </c>
      <c r="D215" s="8">
        <v>4140</v>
      </c>
    </row>
    <row r="216" spans="1:4" x14ac:dyDescent="0.3">
      <c r="A216" s="6" t="s">
        <v>45</v>
      </c>
      <c r="B216" s="7" t="s">
        <v>17</v>
      </c>
      <c r="C216" s="7" t="s">
        <v>10</v>
      </c>
      <c r="D216" s="8">
        <v>1600</v>
      </c>
    </row>
    <row r="217" spans="1:4" x14ac:dyDescent="0.3">
      <c r="A217" s="6" t="s">
        <v>45</v>
      </c>
      <c r="B217" s="7" t="s">
        <v>15</v>
      </c>
      <c r="C217" s="7" t="s">
        <v>24</v>
      </c>
      <c r="D217" s="8">
        <v>4990</v>
      </c>
    </row>
    <row r="218" spans="1:4" x14ac:dyDescent="0.3">
      <c r="A218" s="6" t="s">
        <v>45</v>
      </c>
      <c r="B218" s="7" t="s">
        <v>15</v>
      </c>
      <c r="C218" s="7" t="s">
        <v>18</v>
      </c>
      <c r="D218" s="8">
        <v>1420</v>
      </c>
    </row>
    <row r="219" spans="1:4" x14ac:dyDescent="0.3">
      <c r="A219" s="6" t="s">
        <v>45</v>
      </c>
      <c r="B219" s="7" t="s">
        <v>15</v>
      </c>
      <c r="C219" s="7" t="s">
        <v>21</v>
      </c>
      <c r="D219" s="8">
        <v>3070</v>
      </c>
    </row>
    <row r="220" spans="1:4" x14ac:dyDescent="0.3">
      <c r="A220" s="6" t="s">
        <v>45</v>
      </c>
      <c r="B220" s="7" t="s">
        <v>15</v>
      </c>
      <c r="C220" s="7" t="s">
        <v>13</v>
      </c>
      <c r="D220" s="8">
        <v>4370</v>
      </c>
    </row>
    <row r="221" spans="1:4" x14ac:dyDescent="0.3">
      <c r="A221" s="6" t="s">
        <v>45</v>
      </c>
      <c r="B221" s="7" t="s">
        <v>15</v>
      </c>
      <c r="C221" s="7" t="s">
        <v>10</v>
      </c>
      <c r="D221" s="8">
        <v>1340</v>
      </c>
    </row>
    <row r="222" spans="1:4" x14ac:dyDescent="0.3">
      <c r="A222" s="6" t="s">
        <v>46</v>
      </c>
      <c r="B222" s="7" t="s">
        <v>12</v>
      </c>
      <c r="C222" s="7" t="s">
        <v>24</v>
      </c>
      <c r="D222" s="8">
        <v>6820</v>
      </c>
    </row>
    <row r="223" spans="1:4" x14ac:dyDescent="0.3">
      <c r="A223" s="6" t="s">
        <v>46</v>
      </c>
      <c r="B223" s="7" t="s">
        <v>12</v>
      </c>
      <c r="C223" s="7" t="s">
        <v>18</v>
      </c>
      <c r="D223" s="8">
        <v>1750</v>
      </c>
    </row>
    <row r="224" spans="1:4" x14ac:dyDescent="0.3">
      <c r="A224" s="6" t="s">
        <v>46</v>
      </c>
      <c r="B224" s="7" t="s">
        <v>12</v>
      </c>
      <c r="C224" s="7" t="s">
        <v>21</v>
      </c>
      <c r="D224" s="8">
        <v>4800</v>
      </c>
    </row>
    <row r="225" spans="1:4" x14ac:dyDescent="0.3">
      <c r="A225" s="6" t="s">
        <v>46</v>
      </c>
      <c r="B225" s="7" t="s">
        <v>12</v>
      </c>
      <c r="C225" s="7" t="s">
        <v>13</v>
      </c>
      <c r="D225" s="8">
        <v>4480</v>
      </c>
    </row>
    <row r="226" spans="1:4" x14ac:dyDescent="0.3">
      <c r="A226" s="6" t="s">
        <v>46</v>
      </c>
      <c r="B226" s="7" t="s">
        <v>12</v>
      </c>
      <c r="C226" s="7" t="s">
        <v>10</v>
      </c>
      <c r="D226" s="8">
        <v>720</v>
      </c>
    </row>
    <row r="227" spans="1:4" x14ac:dyDescent="0.3">
      <c r="A227" s="6" t="s">
        <v>46</v>
      </c>
      <c r="B227" s="7" t="s">
        <v>9</v>
      </c>
      <c r="C227" s="7" t="s">
        <v>24</v>
      </c>
      <c r="D227" s="8">
        <v>9590</v>
      </c>
    </row>
    <row r="228" spans="1:4" x14ac:dyDescent="0.3">
      <c r="A228" s="6" t="s">
        <v>46</v>
      </c>
      <c r="B228" s="7" t="s">
        <v>9</v>
      </c>
      <c r="C228" s="7" t="s">
        <v>18</v>
      </c>
      <c r="D228" s="8">
        <v>1710</v>
      </c>
    </row>
    <row r="229" spans="1:4" x14ac:dyDescent="0.3">
      <c r="A229" s="6" t="s">
        <v>46</v>
      </c>
      <c r="B229" s="7" t="s">
        <v>9</v>
      </c>
      <c r="C229" s="7" t="s">
        <v>21</v>
      </c>
      <c r="D229" s="8">
        <v>3640</v>
      </c>
    </row>
    <row r="230" spans="1:4" x14ac:dyDescent="0.3">
      <c r="A230" s="6" t="s">
        <v>46</v>
      </c>
      <c r="B230" s="7" t="s">
        <v>9</v>
      </c>
      <c r="C230" s="7" t="s">
        <v>13</v>
      </c>
      <c r="D230" s="8">
        <v>3940</v>
      </c>
    </row>
    <row r="231" spans="1:4" x14ac:dyDescent="0.3">
      <c r="A231" s="6" t="s">
        <v>46</v>
      </c>
      <c r="B231" s="7" t="s">
        <v>9</v>
      </c>
      <c r="C231" s="7" t="s">
        <v>10</v>
      </c>
      <c r="D231" s="8">
        <v>1110</v>
      </c>
    </row>
    <row r="232" spans="1:4" x14ac:dyDescent="0.3">
      <c r="A232" s="6" t="s">
        <v>46</v>
      </c>
      <c r="B232" s="7" t="s">
        <v>17</v>
      </c>
      <c r="C232" s="7" t="s">
        <v>24</v>
      </c>
      <c r="D232" s="8">
        <v>8400</v>
      </c>
    </row>
    <row r="233" spans="1:4" x14ac:dyDescent="0.3">
      <c r="A233" s="6" t="s">
        <v>46</v>
      </c>
      <c r="B233" s="7" t="s">
        <v>17</v>
      </c>
      <c r="C233" s="7" t="s">
        <v>18</v>
      </c>
      <c r="D233" s="8">
        <v>2000</v>
      </c>
    </row>
    <row r="234" spans="1:4" x14ac:dyDescent="0.3">
      <c r="A234" s="6" t="s">
        <v>46</v>
      </c>
      <c r="B234" s="7" t="s">
        <v>17</v>
      </c>
      <c r="C234" s="7" t="s">
        <v>21</v>
      </c>
      <c r="D234" s="8">
        <v>1610</v>
      </c>
    </row>
    <row r="235" spans="1:4" x14ac:dyDescent="0.3">
      <c r="A235" s="6" t="s">
        <v>46</v>
      </c>
      <c r="B235" s="7" t="s">
        <v>17</v>
      </c>
      <c r="C235" s="7" t="s">
        <v>13</v>
      </c>
      <c r="D235" s="8">
        <v>4180</v>
      </c>
    </row>
    <row r="236" spans="1:4" x14ac:dyDescent="0.3">
      <c r="A236" s="6" t="s">
        <v>46</v>
      </c>
      <c r="B236" s="7" t="s">
        <v>17</v>
      </c>
      <c r="C236" s="7" t="s">
        <v>10</v>
      </c>
      <c r="D236" s="8">
        <v>1610</v>
      </c>
    </row>
    <row r="237" spans="1:4" x14ac:dyDescent="0.3">
      <c r="A237" s="6" t="s">
        <v>46</v>
      </c>
      <c r="B237" s="7" t="s">
        <v>15</v>
      </c>
      <c r="C237" s="7" t="s">
        <v>24</v>
      </c>
      <c r="D237" s="8">
        <v>5030</v>
      </c>
    </row>
    <row r="238" spans="1:4" x14ac:dyDescent="0.3">
      <c r="A238" s="6" t="s">
        <v>46</v>
      </c>
      <c r="B238" s="7" t="s">
        <v>15</v>
      </c>
      <c r="C238" s="7" t="s">
        <v>18</v>
      </c>
      <c r="D238" s="8">
        <v>1440</v>
      </c>
    </row>
    <row r="239" spans="1:4" x14ac:dyDescent="0.3">
      <c r="A239" s="6" t="s">
        <v>46</v>
      </c>
      <c r="B239" s="7" t="s">
        <v>15</v>
      </c>
      <c r="C239" s="7" t="s">
        <v>21</v>
      </c>
      <c r="D239" s="8">
        <v>3100</v>
      </c>
    </row>
    <row r="240" spans="1:4" x14ac:dyDescent="0.3">
      <c r="A240" s="6" t="s">
        <v>46</v>
      </c>
      <c r="B240" s="7" t="s">
        <v>15</v>
      </c>
      <c r="C240" s="7" t="s">
        <v>13</v>
      </c>
      <c r="D240" s="8">
        <v>4410</v>
      </c>
    </row>
    <row r="241" spans="1:4" x14ac:dyDescent="0.3">
      <c r="A241" s="6" t="s">
        <v>46</v>
      </c>
      <c r="B241" s="7" t="s">
        <v>15</v>
      </c>
      <c r="C241" s="7" t="s">
        <v>10</v>
      </c>
      <c r="D241" s="8">
        <v>1350</v>
      </c>
    </row>
    <row r="242" spans="1:4" x14ac:dyDescent="0.3">
      <c r="A242" s="6" t="s">
        <v>29</v>
      </c>
      <c r="B242" s="7" t="s">
        <v>12</v>
      </c>
      <c r="C242" s="7" t="s">
        <v>24</v>
      </c>
      <c r="D242" s="8">
        <v>5160</v>
      </c>
    </row>
    <row r="243" spans="1:4" x14ac:dyDescent="0.3">
      <c r="A243" s="6" t="s">
        <v>29</v>
      </c>
      <c r="B243" s="7" t="s">
        <v>12</v>
      </c>
      <c r="C243" s="7" t="s">
        <v>18</v>
      </c>
      <c r="D243" s="8">
        <v>1320</v>
      </c>
    </row>
    <row r="244" spans="1:4" x14ac:dyDescent="0.3">
      <c r="A244" s="6" t="s">
        <v>29</v>
      </c>
      <c r="B244" s="7" t="s">
        <v>12</v>
      </c>
      <c r="C244" s="7" t="s">
        <v>21</v>
      </c>
      <c r="D244" s="8">
        <v>3630</v>
      </c>
    </row>
    <row r="245" spans="1:4" x14ac:dyDescent="0.3">
      <c r="A245" s="6" t="s">
        <v>29</v>
      </c>
      <c r="B245" s="7" t="s">
        <v>12</v>
      </c>
      <c r="C245" s="7" t="s">
        <v>13</v>
      </c>
      <c r="D245" s="8">
        <v>3390</v>
      </c>
    </row>
    <row r="246" spans="1:4" x14ac:dyDescent="0.3">
      <c r="A246" s="6" t="s">
        <v>29</v>
      </c>
      <c r="B246" s="7" t="s">
        <v>12</v>
      </c>
      <c r="C246" s="7" t="s">
        <v>10</v>
      </c>
      <c r="D246" s="8">
        <v>550</v>
      </c>
    </row>
    <row r="247" spans="1:4" x14ac:dyDescent="0.3">
      <c r="A247" s="6" t="s">
        <v>29</v>
      </c>
      <c r="B247" s="7" t="s">
        <v>9</v>
      </c>
      <c r="C247" s="7" t="s">
        <v>24</v>
      </c>
      <c r="D247" s="8">
        <v>7260</v>
      </c>
    </row>
    <row r="248" spans="1:4" x14ac:dyDescent="0.3">
      <c r="A248" s="6" t="s">
        <v>29</v>
      </c>
      <c r="B248" s="7" t="s">
        <v>9</v>
      </c>
      <c r="C248" s="7" t="s">
        <v>18</v>
      </c>
      <c r="D248" s="8">
        <v>1290</v>
      </c>
    </row>
    <row r="249" spans="1:4" x14ac:dyDescent="0.3">
      <c r="A249" s="6" t="s">
        <v>29</v>
      </c>
      <c r="B249" s="7" t="s">
        <v>9</v>
      </c>
      <c r="C249" s="7" t="s">
        <v>21</v>
      </c>
      <c r="D249" s="8">
        <v>2760</v>
      </c>
    </row>
    <row r="250" spans="1:4" x14ac:dyDescent="0.3">
      <c r="A250" s="6" t="s">
        <v>29</v>
      </c>
      <c r="B250" s="7" t="s">
        <v>9</v>
      </c>
      <c r="C250" s="7" t="s">
        <v>13</v>
      </c>
      <c r="D250" s="8">
        <v>2980</v>
      </c>
    </row>
    <row r="251" spans="1:4" x14ac:dyDescent="0.3">
      <c r="A251" s="6" t="s">
        <v>29</v>
      </c>
      <c r="B251" s="7" t="s">
        <v>9</v>
      </c>
      <c r="C251" s="7" t="s">
        <v>10</v>
      </c>
      <c r="D251" s="8">
        <v>840</v>
      </c>
    </row>
    <row r="252" spans="1:4" x14ac:dyDescent="0.3">
      <c r="A252" s="6" t="s">
        <v>29</v>
      </c>
      <c r="B252" s="7" t="s">
        <v>17</v>
      </c>
      <c r="C252" s="7" t="s">
        <v>24</v>
      </c>
      <c r="D252" s="8">
        <v>6360</v>
      </c>
    </row>
    <row r="253" spans="1:4" x14ac:dyDescent="0.3">
      <c r="A253" s="6" t="s">
        <v>29</v>
      </c>
      <c r="B253" s="7" t="s">
        <v>17</v>
      </c>
      <c r="C253" s="7" t="s">
        <v>18</v>
      </c>
      <c r="D253" s="8">
        <v>1510</v>
      </c>
    </row>
    <row r="254" spans="1:4" x14ac:dyDescent="0.3">
      <c r="A254" s="6" t="s">
        <v>29</v>
      </c>
      <c r="B254" s="7" t="s">
        <v>17</v>
      </c>
      <c r="C254" s="7" t="s">
        <v>21</v>
      </c>
      <c r="D254" s="8">
        <v>1220</v>
      </c>
    </row>
    <row r="255" spans="1:4" x14ac:dyDescent="0.3">
      <c r="A255" s="6" t="s">
        <v>29</v>
      </c>
      <c r="B255" s="7" t="s">
        <v>17</v>
      </c>
      <c r="C255" s="7" t="s">
        <v>13</v>
      </c>
      <c r="D255" s="8">
        <v>3160</v>
      </c>
    </row>
    <row r="256" spans="1:4" x14ac:dyDescent="0.3">
      <c r="A256" s="6" t="s">
        <v>29</v>
      </c>
      <c r="B256" s="7" t="s">
        <v>17</v>
      </c>
      <c r="C256" s="7" t="s">
        <v>10</v>
      </c>
      <c r="D256" s="8">
        <v>1220</v>
      </c>
    </row>
    <row r="257" spans="1:4" x14ac:dyDescent="0.3">
      <c r="A257" s="6" t="s">
        <v>29</v>
      </c>
      <c r="B257" s="7" t="s">
        <v>15</v>
      </c>
      <c r="C257" s="7" t="s">
        <v>24</v>
      </c>
      <c r="D257" s="8">
        <v>3810</v>
      </c>
    </row>
    <row r="258" spans="1:4" x14ac:dyDescent="0.3">
      <c r="A258" s="6" t="s">
        <v>29</v>
      </c>
      <c r="B258" s="7" t="s">
        <v>15</v>
      </c>
      <c r="C258" s="7" t="s">
        <v>18</v>
      </c>
      <c r="D258" s="8">
        <v>1090</v>
      </c>
    </row>
    <row r="259" spans="1:4" x14ac:dyDescent="0.3">
      <c r="A259" s="6" t="s">
        <v>29</v>
      </c>
      <c r="B259" s="7" t="s">
        <v>15</v>
      </c>
      <c r="C259" s="7" t="s">
        <v>21</v>
      </c>
      <c r="D259" s="8">
        <v>2350</v>
      </c>
    </row>
    <row r="260" spans="1:4" x14ac:dyDescent="0.3">
      <c r="A260" s="6" t="s">
        <v>29</v>
      </c>
      <c r="B260" s="7" t="s">
        <v>15</v>
      </c>
      <c r="C260" s="7" t="s">
        <v>13</v>
      </c>
      <c r="D260" s="8">
        <v>3340</v>
      </c>
    </row>
    <row r="261" spans="1:4" x14ac:dyDescent="0.3">
      <c r="A261" s="6" t="s">
        <v>29</v>
      </c>
      <c r="B261" s="7" t="s">
        <v>15</v>
      </c>
      <c r="C261" s="7" t="s">
        <v>10</v>
      </c>
      <c r="D261" s="8">
        <v>1030</v>
      </c>
    </row>
    <row r="262" spans="1:4" x14ac:dyDescent="0.3">
      <c r="A262" s="6" t="s">
        <v>47</v>
      </c>
      <c r="B262" s="7" t="s">
        <v>12</v>
      </c>
      <c r="C262" s="7" t="s">
        <v>24</v>
      </c>
      <c r="D262" s="8">
        <v>5200</v>
      </c>
    </row>
    <row r="263" spans="1:4" x14ac:dyDescent="0.3">
      <c r="A263" s="6" t="s">
        <v>47</v>
      </c>
      <c r="B263" s="7" t="s">
        <v>12</v>
      </c>
      <c r="C263" s="7" t="s">
        <v>18</v>
      </c>
      <c r="D263" s="8">
        <v>1340</v>
      </c>
    </row>
    <row r="264" spans="1:4" x14ac:dyDescent="0.3">
      <c r="A264" s="6" t="s">
        <v>47</v>
      </c>
      <c r="B264" s="7" t="s">
        <v>12</v>
      </c>
      <c r="C264" s="7" t="s">
        <v>21</v>
      </c>
      <c r="D264" s="8">
        <v>3660</v>
      </c>
    </row>
    <row r="265" spans="1:4" x14ac:dyDescent="0.3">
      <c r="A265" s="6" t="s">
        <v>47</v>
      </c>
      <c r="B265" s="7" t="s">
        <v>12</v>
      </c>
      <c r="C265" s="7" t="s">
        <v>13</v>
      </c>
      <c r="D265" s="8">
        <v>3420</v>
      </c>
    </row>
    <row r="266" spans="1:4" x14ac:dyDescent="0.3">
      <c r="A266" s="6" t="s">
        <v>47</v>
      </c>
      <c r="B266" s="7" t="s">
        <v>12</v>
      </c>
      <c r="C266" s="7" t="s">
        <v>10</v>
      </c>
      <c r="D266" s="8">
        <v>550</v>
      </c>
    </row>
    <row r="267" spans="1:4" x14ac:dyDescent="0.3">
      <c r="A267" s="6" t="s">
        <v>47</v>
      </c>
      <c r="B267" s="7" t="s">
        <v>9</v>
      </c>
      <c r="C267" s="7" t="s">
        <v>24</v>
      </c>
      <c r="D267" s="8">
        <v>7330</v>
      </c>
    </row>
    <row r="268" spans="1:4" x14ac:dyDescent="0.3">
      <c r="A268" s="6" t="s">
        <v>47</v>
      </c>
      <c r="B268" s="7" t="s">
        <v>9</v>
      </c>
      <c r="C268" s="7" t="s">
        <v>18</v>
      </c>
      <c r="D268" s="8">
        <v>1300</v>
      </c>
    </row>
    <row r="269" spans="1:4" x14ac:dyDescent="0.3">
      <c r="A269" s="6" t="s">
        <v>47</v>
      </c>
      <c r="B269" s="7" t="s">
        <v>9</v>
      </c>
      <c r="C269" s="7" t="s">
        <v>21</v>
      </c>
      <c r="D269" s="8">
        <v>2780</v>
      </c>
    </row>
    <row r="270" spans="1:4" x14ac:dyDescent="0.3">
      <c r="A270" s="6" t="s">
        <v>47</v>
      </c>
      <c r="B270" s="7" t="s">
        <v>9</v>
      </c>
      <c r="C270" s="7" t="s">
        <v>13</v>
      </c>
      <c r="D270" s="8">
        <v>3000</v>
      </c>
    </row>
    <row r="271" spans="1:4" x14ac:dyDescent="0.3">
      <c r="A271" s="6" t="s">
        <v>47</v>
      </c>
      <c r="B271" s="7" t="s">
        <v>9</v>
      </c>
      <c r="C271" s="7" t="s">
        <v>10</v>
      </c>
      <c r="D271" s="8">
        <v>850</v>
      </c>
    </row>
    <row r="272" spans="1:4" x14ac:dyDescent="0.3">
      <c r="A272" s="6" t="s">
        <v>47</v>
      </c>
      <c r="B272" s="7" t="s">
        <v>17</v>
      </c>
      <c r="C272" s="7" t="s">
        <v>24</v>
      </c>
      <c r="D272" s="8">
        <v>6410</v>
      </c>
    </row>
    <row r="273" spans="1:4" x14ac:dyDescent="0.3">
      <c r="A273" s="6" t="s">
        <v>47</v>
      </c>
      <c r="B273" s="7" t="s">
        <v>17</v>
      </c>
      <c r="C273" s="7" t="s">
        <v>18</v>
      </c>
      <c r="D273" s="8">
        <v>1530</v>
      </c>
    </row>
    <row r="274" spans="1:4" x14ac:dyDescent="0.3">
      <c r="A274" s="6" t="s">
        <v>47</v>
      </c>
      <c r="B274" s="7" t="s">
        <v>17</v>
      </c>
      <c r="C274" s="7" t="s">
        <v>21</v>
      </c>
      <c r="D274" s="8">
        <v>1230</v>
      </c>
    </row>
    <row r="275" spans="1:4" x14ac:dyDescent="0.3">
      <c r="A275" s="6" t="s">
        <v>47</v>
      </c>
      <c r="B275" s="7" t="s">
        <v>17</v>
      </c>
      <c r="C275" s="7" t="s">
        <v>13</v>
      </c>
      <c r="D275" s="8">
        <v>3190</v>
      </c>
    </row>
    <row r="276" spans="1:4" x14ac:dyDescent="0.3">
      <c r="A276" s="6" t="s">
        <v>47</v>
      </c>
      <c r="B276" s="7" t="s">
        <v>17</v>
      </c>
      <c r="C276" s="7" t="s">
        <v>10</v>
      </c>
      <c r="D276" s="8">
        <v>1230</v>
      </c>
    </row>
    <row r="277" spans="1:4" x14ac:dyDescent="0.3">
      <c r="A277" s="6" t="s">
        <v>47</v>
      </c>
      <c r="B277" s="7" t="s">
        <v>15</v>
      </c>
      <c r="C277" s="7" t="s">
        <v>24</v>
      </c>
      <c r="D277" s="8">
        <v>3840</v>
      </c>
    </row>
    <row r="278" spans="1:4" x14ac:dyDescent="0.3">
      <c r="A278" s="6" t="s">
        <v>47</v>
      </c>
      <c r="B278" s="7" t="s">
        <v>15</v>
      </c>
      <c r="C278" s="7" t="s">
        <v>18</v>
      </c>
      <c r="D278" s="8">
        <v>1100</v>
      </c>
    </row>
    <row r="279" spans="1:4" x14ac:dyDescent="0.3">
      <c r="A279" s="6" t="s">
        <v>47</v>
      </c>
      <c r="B279" s="7" t="s">
        <v>15</v>
      </c>
      <c r="C279" s="7" t="s">
        <v>21</v>
      </c>
      <c r="D279" s="8">
        <v>2370</v>
      </c>
    </row>
    <row r="280" spans="1:4" x14ac:dyDescent="0.3">
      <c r="A280" s="6" t="s">
        <v>47</v>
      </c>
      <c r="B280" s="7" t="s">
        <v>15</v>
      </c>
      <c r="C280" s="7" t="s">
        <v>13</v>
      </c>
      <c r="D280" s="8">
        <v>3370</v>
      </c>
    </row>
    <row r="281" spans="1:4" x14ac:dyDescent="0.3">
      <c r="A281" s="6" t="s">
        <v>47</v>
      </c>
      <c r="B281" s="7" t="s">
        <v>15</v>
      </c>
      <c r="C281" s="7" t="s">
        <v>10</v>
      </c>
      <c r="D281" s="8">
        <v>1030</v>
      </c>
    </row>
    <row r="282" spans="1:4" x14ac:dyDescent="0.3">
      <c r="A282" s="6" t="s">
        <v>48</v>
      </c>
      <c r="B282" s="7" t="s">
        <v>12</v>
      </c>
      <c r="C282" s="7" t="s">
        <v>24</v>
      </c>
      <c r="D282" s="8">
        <v>5830</v>
      </c>
    </row>
    <row r="283" spans="1:4" x14ac:dyDescent="0.3">
      <c r="A283" s="6" t="s">
        <v>48</v>
      </c>
      <c r="B283" s="7" t="s">
        <v>12</v>
      </c>
      <c r="C283" s="7" t="s">
        <v>18</v>
      </c>
      <c r="D283" s="8">
        <v>1500</v>
      </c>
    </row>
    <row r="284" spans="1:4" x14ac:dyDescent="0.3">
      <c r="A284" s="6" t="s">
        <v>48</v>
      </c>
      <c r="B284" s="7" t="s">
        <v>12</v>
      </c>
      <c r="C284" s="7" t="s">
        <v>21</v>
      </c>
      <c r="D284" s="8">
        <v>4110</v>
      </c>
    </row>
    <row r="285" spans="1:4" x14ac:dyDescent="0.3">
      <c r="A285" s="6" t="s">
        <v>48</v>
      </c>
      <c r="B285" s="7" t="s">
        <v>12</v>
      </c>
      <c r="C285" s="7" t="s">
        <v>13</v>
      </c>
      <c r="D285" s="8">
        <v>3830</v>
      </c>
    </row>
    <row r="286" spans="1:4" x14ac:dyDescent="0.3">
      <c r="A286" s="6" t="s">
        <v>48</v>
      </c>
      <c r="B286" s="7" t="s">
        <v>12</v>
      </c>
      <c r="C286" s="7" t="s">
        <v>10</v>
      </c>
      <c r="D286" s="8">
        <v>620</v>
      </c>
    </row>
    <row r="287" spans="1:4" x14ac:dyDescent="0.3">
      <c r="A287" s="6" t="s">
        <v>48</v>
      </c>
      <c r="B287" s="7" t="s">
        <v>9</v>
      </c>
      <c r="C287" s="7" t="s">
        <v>24</v>
      </c>
      <c r="D287" s="8">
        <v>8210</v>
      </c>
    </row>
    <row r="288" spans="1:4" x14ac:dyDescent="0.3">
      <c r="A288" s="6" t="s">
        <v>48</v>
      </c>
      <c r="B288" s="7" t="s">
        <v>9</v>
      </c>
      <c r="C288" s="7" t="s">
        <v>18</v>
      </c>
      <c r="D288" s="8">
        <v>1460</v>
      </c>
    </row>
    <row r="289" spans="1:4" x14ac:dyDescent="0.3">
      <c r="A289" s="6" t="s">
        <v>48</v>
      </c>
      <c r="B289" s="7" t="s">
        <v>9</v>
      </c>
      <c r="C289" s="7" t="s">
        <v>21</v>
      </c>
      <c r="D289" s="8">
        <v>3120</v>
      </c>
    </row>
    <row r="290" spans="1:4" x14ac:dyDescent="0.3">
      <c r="A290" s="6" t="s">
        <v>48</v>
      </c>
      <c r="B290" s="7" t="s">
        <v>9</v>
      </c>
      <c r="C290" s="7" t="s">
        <v>13</v>
      </c>
      <c r="D290" s="8">
        <v>3370</v>
      </c>
    </row>
    <row r="291" spans="1:4" x14ac:dyDescent="0.3">
      <c r="A291" s="6" t="s">
        <v>48</v>
      </c>
      <c r="B291" s="7" t="s">
        <v>9</v>
      </c>
      <c r="C291" s="7" t="s">
        <v>10</v>
      </c>
      <c r="D291" s="8">
        <v>950</v>
      </c>
    </row>
    <row r="292" spans="1:4" x14ac:dyDescent="0.3">
      <c r="A292" s="6" t="s">
        <v>48</v>
      </c>
      <c r="B292" s="7" t="s">
        <v>17</v>
      </c>
      <c r="C292" s="7" t="s">
        <v>24</v>
      </c>
      <c r="D292" s="8">
        <v>7190</v>
      </c>
    </row>
    <row r="293" spans="1:4" x14ac:dyDescent="0.3">
      <c r="A293" s="6" t="s">
        <v>48</v>
      </c>
      <c r="B293" s="7" t="s">
        <v>17</v>
      </c>
      <c r="C293" s="7" t="s">
        <v>18</v>
      </c>
      <c r="D293" s="8">
        <v>1710</v>
      </c>
    </row>
    <row r="294" spans="1:4" x14ac:dyDescent="0.3">
      <c r="A294" s="6" t="s">
        <v>48</v>
      </c>
      <c r="B294" s="7" t="s">
        <v>17</v>
      </c>
      <c r="C294" s="7" t="s">
        <v>21</v>
      </c>
      <c r="D294" s="8">
        <v>1380</v>
      </c>
    </row>
    <row r="295" spans="1:4" x14ac:dyDescent="0.3">
      <c r="A295" s="6" t="s">
        <v>48</v>
      </c>
      <c r="B295" s="7" t="s">
        <v>17</v>
      </c>
      <c r="C295" s="7" t="s">
        <v>13</v>
      </c>
      <c r="D295" s="8">
        <v>3580</v>
      </c>
    </row>
    <row r="296" spans="1:4" x14ac:dyDescent="0.3">
      <c r="A296" s="6" t="s">
        <v>48</v>
      </c>
      <c r="B296" s="7" t="s">
        <v>17</v>
      </c>
      <c r="C296" s="7" t="s">
        <v>10</v>
      </c>
      <c r="D296" s="8">
        <v>1380</v>
      </c>
    </row>
    <row r="297" spans="1:4" x14ac:dyDescent="0.3">
      <c r="A297" s="6" t="s">
        <v>48</v>
      </c>
      <c r="B297" s="7" t="s">
        <v>15</v>
      </c>
      <c r="C297" s="7" t="s">
        <v>24</v>
      </c>
      <c r="D297" s="8">
        <v>4310</v>
      </c>
    </row>
    <row r="298" spans="1:4" x14ac:dyDescent="0.3">
      <c r="A298" s="6" t="s">
        <v>48</v>
      </c>
      <c r="B298" s="7" t="s">
        <v>15</v>
      </c>
      <c r="C298" s="7" t="s">
        <v>18</v>
      </c>
      <c r="D298" s="8">
        <v>1230</v>
      </c>
    </row>
    <row r="299" spans="1:4" x14ac:dyDescent="0.3">
      <c r="A299" s="6" t="s">
        <v>48</v>
      </c>
      <c r="B299" s="7" t="s">
        <v>15</v>
      </c>
      <c r="C299" s="7" t="s">
        <v>21</v>
      </c>
      <c r="D299" s="8">
        <v>2650</v>
      </c>
    </row>
    <row r="300" spans="1:4" x14ac:dyDescent="0.3">
      <c r="A300" s="6" t="s">
        <v>48</v>
      </c>
      <c r="B300" s="7" t="s">
        <v>15</v>
      </c>
      <c r="C300" s="7" t="s">
        <v>13</v>
      </c>
      <c r="D300" s="8">
        <v>3770</v>
      </c>
    </row>
    <row r="301" spans="1:4" x14ac:dyDescent="0.3">
      <c r="A301" s="6" t="s">
        <v>48</v>
      </c>
      <c r="B301" s="7" t="s">
        <v>15</v>
      </c>
      <c r="C301" s="7" t="s">
        <v>10</v>
      </c>
      <c r="D301" s="8">
        <v>1160</v>
      </c>
    </row>
    <row r="302" spans="1:4" x14ac:dyDescent="0.3">
      <c r="A302" s="6" t="s">
        <v>30</v>
      </c>
      <c r="B302" s="7" t="s">
        <v>12</v>
      </c>
      <c r="C302" s="7" t="s">
        <v>24</v>
      </c>
      <c r="D302" s="8">
        <v>5890</v>
      </c>
    </row>
    <row r="303" spans="1:4" x14ac:dyDescent="0.3">
      <c r="A303" s="6" t="s">
        <v>30</v>
      </c>
      <c r="B303" s="7" t="s">
        <v>12</v>
      </c>
      <c r="C303" s="7" t="s">
        <v>18</v>
      </c>
      <c r="D303" s="8">
        <v>1510</v>
      </c>
    </row>
    <row r="304" spans="1:4" x14ac:dyDescent="0.3">
      <c r="A304" s="6" t="s">
        <v>30</v>
      </c>
      <c r="B304" s="7" t="s">
        <v>12</v>
      </c>
      <c r="C304" s="7" t="s">
        <v>21</v>
      </c>
      <c r="D304" s="8">
        <v>4140</v>
      </c>
    </row>
    <row r="305" spans="1:4" x14ac:dyDescent="0.3">
      <c r="A305" s="6" t="s">
        <v>30</v>
      </c>
      <c r="B305" s="7" t="s">
        <v>12</v>
      </c>
      <c r="C305" s="7" t="s">
        <v>13</v>
      </c>
      <c r="D305" s="8">
        <v>3870</v>
      </c>
    </row>
    <row r="306" spans="1:4" x14ac:dyDescent="0.3">
      <c r="A306" s="6" t="s">
        <v>30</v>
      </c>
      <c r="B306" s="7" t="s">
        <v>12</v>
      </c>
      <c r="C306" s="7" t="s">
        <v>10</v>
      </c>
      <c r="D306" s="8">
        <v>630</v>
      </c>
    </row>
    <row r="307" spans="1:4" x14ac:dyDescent="0.3">
      <c r="A307" s="6" t="s">
        <v>30</v>
      </c>
      <c r="B307" s="7" t="s">
        <v>9</v>
      </c>
      <c r="C307" s="7" t="s">
        <v>24</v>
      </c>
      <c r="D307" s="8">
        <v>8280</v>
      </c>
    </row>
    <row r="308" spans="1:4" x14ac:dyDescent="0.3">
      <c r="A308" s="6" t="s">
        <v>30</v>
      </c>
      <c r="B308" s="7" t="s">
        <v>9</v>
      </c>
      <c r="C308" s="7" t="s">
        <v>18</v>
      </c>
      <c r="D308" s="8">
        <v>1470</v>
      </c>
    </row>
    <row r="309" spans="1:4" x14ac:dyDescent="0.3">
      <c r="A309" s="6" t="s">
        <v>30</v>
      </c>
      <c r="B309" s="7" t="s">
        <v>9</v>
      </c>
      <c r="C309" s="7" t="s">
        <v>21</v>
      </c>
      <c r="D309" s="8">
        <v>3150</v>
      </c>
    </row>
    <row r="310" spans="1:4" x14ac:dyDescent="0.3">
      <c r="A310" s="6" t="s">
        <v>30</v>
      </c>
      <c r="B310" s="7" t="s">
        <v>9</v>
      </c>
      <c r="C310" s="7" t="s">
        <v>13</v>
      </c>
      <c r="D310" s="8">
        <v>3400</v>
      </c>
    </row>
    <row r="311" spans="1:4" x14ac:dyDescent="0.3">
      <c r="A311" s="6" t="s">
        <v>30</v>
      </c>
      <c r="B311" s="7" t="s">
        <v>9</v>
      </c>
      <c r="C311" s="7" t="s">
        <v>10</v>
      </c>
      <c r="D311" s="8">
        <v>960</v>
      </c>
    </row>
    <row r="312" spans="1:4" x14ac:dyDescent="0.3">
      <c r="A312" s="6" t="s">
        <v>30</v>
      </c>
      <c r="B312" s="7" t="s">
        <v>17</v>
      </c>
      <c r="C312" s="7" t="s">
        <v>24</v>
      </c>
      <c r="D312" s="8">
        <v>7250</v>
      </c>
    </row>
    <row r="313" spans="1:4" x14ac:dyDescent="0.3">
      <c r="A313" s="6" t="s">
        <v>30</v>
      </c>
      <c r="B313" s="7" t="s">
        <v>17</v>
      </c>
      <c r="C313" s="7" t="s">
        <v>18</v>
      </c>
      <c r="D313" s="8">
        <v>1730</v>
      </c>
    </row>
    <row r="314" spans="1:4" x14ac:dyDescent="0.3">
      <c r="A314" s="6" t="s">
        <v>30</v>
      </c>
      <c r="B314" s="7" t="s">
        <v>17</v>
      </c>
      <c r="C314" s="7" t="s">
        <v>21</v>
      </c>
      <c r="D314" s="8">
        <v>1390</v>
      </c>
    </row>
    <row r="315" spans="1:4" x14ac:dyDescent="0.3">
      <c r="A315" s="6" t="s">
        <v>30</v>
      </c>
      <c r="B315" s="7" t="s">
        <v>17</v>
      </c>
      <c r="C315" s="7" t="s">
        <v>13</v>
      </c>
      <c r="D315" s="8">
        <v>3610</v>
      </c>
    </row>
    <row r="316" spans="1:4" x14ac:dyDescent="0.3">
      <c r="A316" s="6" t="s">
        <v>30</v>
      </c>
      <c r="B316" s="7" t="s">
        <v>17</v>
      </c>
      <c r="C316" s="7" t="s">
        <v>10</v>
      </c>
      <c r="D316" s="8">
        <v>1390</v>
      </c>
    </row>
    <row r="317" spans="1:4" x14ac:dyDescent="0.3">
      <c r="A317" s="6" t="s">
        <v>30</v>
      </c>
      <c r="B317" s="7" t="s">
        <v>15</v>
      </c>
      <c r="C317" s="7" t="s">
        <v>24</v>
      </c>
      <c r="D317" s="8">
        <v>4350</v>
      </c>
    </row>
    <row r="318" spans="1:4" x14ac:dyDescent="0.3">
      <c r="A318" s="6" t="s">
        <v>30</v>
      </c>
      <c r="B318" s="7" t="s">
        <v>15</v>
      </c>
      <c r="C318" s="7" t="s">
        <v>18</v>
      </c>
      <c r="D318" s="8">
        <v>1240</v>
      </c>
    </row>
    <row r="319" spans="1:4" x14ac:dyDescent="0.3">
      <c r="A319" s="6" t="s">
        <v>30</v>
      </c>
      <c r="B319" s="7" t="s">
        <v>15</v>
      </c>
      <c r="C319" s="7" t="s">
        <v>21</v>
      </c>
      <c r="D319" s="8">
        <v>2680</v>
      </c>
    </row>
    <row r="320" spans="1:4" x14ac:dyDescent="0.3">
      <c r="A320" s="6" t="s">
        <v>30</v>
      </c>
      <c r="B320" s="7" t="s">
        <v>15</v>
      </c>
      <c r="C320" s="7" t="s">
        <v>13</v>
      </c>
      <c r="D320" s="8">
        <v>3810</v>
      </c>
    </row>
    <row r="321" spans="1:4" x14ac:dyDescent="0.3">
      <c r="A321" s="6" t="s">
        <v>30</v>
      </c>
      <c r="B321" s="7" t="s">
        <v>15</v>
      </c>
      <c r="C321" s="7" t="s">
        <v>10</v>
      </c>
      <c r="D321" s="8">
        <v>1170</v>
      </c>
    </row>
    <row r="322" spans="1:4" x14ac:dyDescent="0.3">
      <c r="A322" s="6" t="s">
        <v>31</v>
      </c>
      <c r="B322" s="7" t="s">
        <v>12</v>
      </c>
      <c r="C322" s="7" t="s">
        <v>24</v>
      </c>
      <c r="D322" s="8">
        <v>5940</v>
      </c>
    </row>
    <row r="323" spans="1:4" x14ac:dyDescent="0.3">
      <c r="A323" s="6" t="s">
        <v>31</v>
      </c>
      <c r="B323" s="7" t="s">
        <v>12</v>
      </c>
      <c r="C323" s="7" t="s">
        <v>18</v>
      </c>
      <c r="D323" s="8">
        <v>1520</v>
      </c>
    </row>
    <row r="324" spans="1:4" x14ac:dyDescent="0.3">
      <c r="A324" s="6" t="s">
        <v>31</v>
      </c>
      <c r="B324" s="7" t="s">
        <v>12</v>
      </c>
      <c r="C324" s="7" t="s">
        <v>21</v>
      </c>
      <c r="D324" s="8">
        <v>4180</v>
      </c>
    </row>
    <row r="325" spans="1:4" x14ac:dyDescent="0.3">
      <c r="A325" s="6" t="s">
        <v>31</v>
      </c>
      <c r="B325" s="7" t="s">
        <v>12</v>
      </c>
      <c r="C325" s="7" t="s">
        <v>13</v>
      </c>
      <c r="D325" s="8">
        <v>3900</v>
      </c>
    </row>
    <row r="326" spans="1:4" x14ac:dyDescent="0.3">
      <c r="A326" s="6" t="s">
        <v>31</v>
      </c>
      <c r="B326" s="7" t="s">
        <v>12</v>
      </c>
      <c r="C326" s="7" t="s">
        <v>10</v>
      </c>
      <c r="D326" s="8">
        <v>630</v>
      </c>
    </row>
    <row r="327" spans="1:4" x14ac:dyDescent="0.3">
      <c r="A327" s="6" t="s">
        <v>31</v>
      </c>
      <c r="B327" s="7" t="s">
        <v>9</v>
      </c>
      <c r="C327" s="7" t="s">
        <v>24</v>
      </c>
      <c r="D327" s="8">
        <v>8360</v>
      </c>
    </row>
    <row r="328" spans="1:4" x14ac:dyDescent="0.3">
      <c r="A328" s="6" t="s">
        <v>31</v>
      </c>
      <c r="B328" s="7" t="s">
        <v>9</v>
      </c>
      <c r="C328" s="7" t="s">
        <v>18</v>
      </c>
      <c r="D328" s="8">
        <v>1490</v>
      </c>
    </row>
    <row r="329" spans="1:4" x14ac:dyDescent="0.3">
      <c r="A329" s="6" t="s">
        <v>31</v>
      </c>
      <c r="B329" s="7" t="s">
        <v>9</v>
      </c>
      <c r="C329" s="7" t="s">
        <v>21</v>
      </c>
      <c r="D329" s="8">
        <v>3170</v>
      </c>
    </row>
    <row r="330" spans="1:4" x14ac:dyDescent="0.3">
      <c r="A330" s="6" t="s">
        <v>31</v>
      </c>
      <c r="B330" s="7" t="s">
        <v>9</v>
      </c>
      <c r="C330" s="7" t="s">
        <v>13</v>
      </c>
      <c r="D330" s="8">
        <v>3430</v>
      </c>
    </row>
    <row r="331" spans="1:4" x14ac:dyDescent="0.3">
      <c r="A331" s="6" t="s">
        <v>31</v>
      </c>
      <c r="B331" s="7" t="s">
        <v>9</v>
      </c>
      <c r="C331" s="7" t="s">
        <v>10</v>
      </c>
      <c r="D331" s="8">
        <v>970</v>
      </c>
    </row>
    <row r="332" spans="1:4" x14ac:dyDescent="0.3">
      <c r="A332" s="6" t="s">
        <v>31</v>
      </c>
      <c r="B332" s="7" t="s">
        <v>17</v>
      </c>
      <c r="C332" s="7" t="s">
        <v>24</v>
      </c>
      <c r="D332" s="8">
        <v>7320</v>
      </c>
    </row>
    <row r="333" spans="1:4" x14ac:dyDescent="0.3">
      <c r="A333" s="6" t="s">
        <v>31</v>
      </c>
      <c r="B333" s="7" t="s">
        <v>17</v>
      </c>
      <c r="C333" s="7" t="s">
        <v>18</v>
      </c>
      <c r="D333" s="8">
        <v>1740</v>
      </c>
    </row>
    <row r="334" spans="1:4" x14ac:dyDescent="0.3">
      <c r="A334" s="6" t="s">
        <v>31</v>
      </c>
      <c r="B334" s="7" t="s">
        <v>17</v>
      </c>
      <c r="C334" s="7" t="s">
        <v>21</v>
      </c>
      <c r="D334" s="8">
        <v>1400</v>
      </c>
    </row>
    <row r="335" spans="1:4" x14ac:dyDescent="0.3">
      <c r="A335" s="6" t="s">
        <v>31</v>
      </c>
      <c r="B335" s="7" t="s">
        <v>17</v>
      </c>
      <c r="C335" s="7" t="s">
        <v>13</v>
      </c>
      <c r="D335" s="8">
        <v>3640</v>
      </c>
    </row>
    <row r="336" spans="1:4" x14ac:dyDescent="0.3">
      <c r="A336" s="6" t="s">
        <v>31</v>
      </c>
      <c r="B336" s="7" t="s">
        <v>17</v>
      </c>
      <c r="C336" s="7" t="s">
        <v>10</v>
      </c>
      <c r="D336" s="8">
        <v>1400</v>
      </c>
    </row>
    <row r="337" spans="1:4" x14ac:dyDescent="0.3">
      <c r="A337" s="6" t="s">
        <v>31</v>
      </c>
      <c r="B337" s="7" t="s">
        <v>15</v>
      </c>
      <c r="C337" s="7" t="s">
        <v>24</v>
      </c>
      <c r="D337" s="8">
        <v>4380</v>
      </c>
    </row>
    <row r="338" spans="1:4" x14ac:dyDescent="0.3">
      <c r="A338" s="6" t="s">
        <v>31</v>
      </c>
      <c r="B338" s="7" t="s">
        <v>15</v>
      </c>
      <c r="C338" s="7" t="s">
        <v>18</v>
      </c>
      <c r="D338" s="8">
        <v>1250</v>
      </c>
    </row>
    <row r="339" spans="1:4" x14ac:dyDescent="0.3">
      <c r="A339" s="6" t="s">
        <v>31</v>
      </c>
      <c r="B339" s="7" t="s">
        <v>15</v>
      </c>
      <c r="C339" s="7" t="s">
        <v>21</v>
      </c>
      <c r="D339" s="8">
        <v>2700</v>
      </c>
    </row>
    <row r="340" spans="1:4" x14ac:dyDescent="0.3">
      <c r="A340" s="6" t="s">
        <v>31</v>
      </c>
      <c r="B340" s="7" t="s">
        <v>15</v>
      </c>
      <c r="C340" s="7" t="s">
        <v>13</v>
      </c>
      <c r="D340" s="8">
        <v>3840</v>
      </c>
    </row>
    <row r="341" spans="1:4" x14ac:dyDescent="0.3">
      <c r="A341" s="6" t="s">
        <v>31</v>
      </c>
      <c r="B341" s="7" t="s">
        <v>15</v>
      </c>
      <c r="C341" s="7" t="s">
        <v>10</v>
      </c>
      <c r="D341" s="8">
        <v>1180</v>
      </c>
    </row>
    <row r="342" spans="1:4" x14ac:dyDescent="0.3">
      <c r="A342" s="6" t="s">
        <v>32</v>
      </c>
      <c r="B342" s="7" t="s">
        <v>12</v>
      </c>
      <c r="C342" s="7" t="s">
        <v>24</v>
      </c>
      <c r="D342" s="8">
        <v>5990</v>
      </c>
    </row>
    <row r="343" spans="1:4" x14ac:dyDescent="0.3">
      <c r="A343" s="6" t="s">
        <v>32</v>
      </c>
      <c r="B343" s="7" t="s">
        <v>12</v>
      </c>
      <c r="C343" s="7" t="s">
        <v>18</v>
      </c>
      <c r="D343" s="8">
        <v>1540</v>
      </c>
    </row>
    <row r="344" spans="1:4" x14ac:dyDescent="0.3">
      <c r="A344" s="6" t="s">
        <v>32</v>
      </c>
      <c r="B344" s="7" t="s">
        <v>12</v>
      </c>
      <c r="C344" s="7" t="s">
        <v>21</v>
      </c>
      <c r="D344" s="8">
        <v>4220</v>
      </c>
    </row>
    <row r="345" spans="1:4" x14ac:dyDescent="0.3">
      <c r="A345" s="6" t="s">
        <v>32</v>
      </c>
      <c r="B345" s="7" t="s">
        <v>12</v>
      </c>
      <c r="C345" s="7" t="s">
        <v>13</v>
      </c>
      <c r="D345" s="8">
        <v>3930</v>
      </c>
    </row>
    <row r="346" spans="1:4" x14ac:dyDescent="0.3">
      <c r="A346" s="6" t="s">
        <v>32</v>
      </c>
      <c r="B346" s="7" t="s">
        <v>12</v>
      </c>
      <c r="C346" s="7" t="s">
        <v>10</v>
      </c>
      <c r="D346" s="8">
        <v>640</v>
      </c>
    </row>
    <row r="347" spans="1:4" x14ac:dyDescent="0.3">
      <c r="A347" s="6" t="s">
        <v>32</v>
      </c>
      <c r="B347" s="7" t="s">
        <v>9</v>
      </c>
      <c r="C347" s="7" t="s">
        <v>24</v>
      </c>
      <c r="D347" s="8">
        <v>8430</v>
      </c>
    </row>
    <row r="348" spans="1:4" x14ac:dyDescent="0.3">
      <c r="A348" s="6" t="s">
        <v>32</v>
      </c>
      <c r="B348" s="7" t="s">
        <v>9</v>
      </c>
      <c r="C348" s="7" t="s">
        <v>18</v>
      </c>
      <c r="D348" s="8">
        <v>1500</v>
      </c>
    </row>
    <row r="349" spans="1:4" x14ac:dyDescent="0.3">
      <c r="A349" s="6" t="s">
        <v>32</v>
      </c>
      <c r="B349" s="7" t="s">
        <v>9</v>
      </c>
      <c r="C349" s="7" t="s">
        <v>21</v>
      </c>
      <c r="D349" s="8">
        <v>3200</v>
      </c>
    </row>
    <row r="350" spans="1:4" x14ac:dyDescent="0.3">
      <c r="A350" s="6" t="s">
        <v>32</v>
      </c>
      <c r="B350" s="7" t="s">
        <v>9</v>
      </c>
      <c r="C350" s="7" t="s">
        <v>13</v>
      </c>
      <c r="D350" s="8">
        <v>3460</v>
      </c>
    </row>
    <row r="351" spans="1:4" x14ac:dyDescent="0.3">
      <c r="A351" s="6" t="s">
        <v>32</v>
      </c>
      <c r="B351" s="7" t="s">
        <v>9</v>
      </c>
      <c r="C351" s="7" t="s">
        <v>10</v>
      </c>
      <c r="D351" s="8">
        <v>970</v>
      </c>
    </row>
    <row r="352" spans="1:4" x14ac:dyDescent="0.3">
      <c r="A352" s="6" t="s">
        <v>32</v>
      </c>
      <c r="B352" s="7" t="s">
        <v>17</v>
      </c>
      <c r="C352" s="7" t="s">
        <v>24</v>
      </c>
      <c r="D352" s="8">
        <v>7380</v>
      </c>
    </row>
    <row r="353" spans="1:4" x14ac:dyDescent="0.3">
      <c r="A353" s="6" t="s">
        <v>32</v>
      </c>
      <c r="B353" s="7" t="s">
        <v>17</v>
      </c>
      <c r="C353" s="7" t="s">
        <v>18</v>
      </c>
      <c r="D353" s="8">
        <v>1760</v>
      </c>
    </row>
    <row r="354" spans="1:4" x14ac:dyDescent="0.3">
      <c r="A354" s="6" t="s">
        <v>32</v>
      </c>
      <c r="B354" s="7" t="s">
        <v>17</v>
      </c>
      <c r="C354" s="7" t="s">
        <v>21</v>
      </c>
      <c r="D354" s="8">
        <v>1410</v>
      </c>
    </row>
    <row r="355" spans="1:4" x14ac:dyDescent="0.3">
      <c r="A355" s="6" t="s">
        <v>32</v>
      </c>
      <c r="B355" s="7" t="s">
        <v>17</v>
      </c>
      <c r="C355" s="7" t="s">
        <v>13</v>
      </c>
      <c r="D355" s="8">
        <v>3670</v>
      </c>
    </row>
    <row r="356" spans="1:4" x14ac:dyDescent="0.3">
      <c r="A356" s="6" t="s">
        <v>32</v>
      </c>
      <c r="B356" s="7" t="s">
        <v>17</v>
      </c>
      <c r="C356" s="7" t="s">
        <v>10</v>
      </c>
      <c r="D356" s="8">
        <v>1420</v>
      </c>
    </row>
    <row r="357" spans="1:4" x14ac:dyDescent="0.3">
      <c r="A357" s="6" t="s">
        <v>32</v>
      </c>
      <c r="B357" s="7" t="s">
        <v>15</v>
      </c>
      <c r="C357" s="7" t="s">
        <v>24</v>
      </c>
      <c r="D357" s="8">
        <v>4420</v>
      </c>
    </row>
    <row r="358" spans="1:4" x14ac:dyDescent="0.3">
      <c r="A358" s="6" t="s">
        <v>32</v>
      </c>
      <c r="B358" s="7" t="s">
        <v>15</v>
      </c>
      <c r="C358" s="7" t="s">
        <v>18</v>
      </c>
      <c r="D358" s="8">
        <v>1260</v>
      </c>
    </row>
    <row r="359" spans="1:4" x14ac:dyDescent="0.3">
      <c r="A359" s="6" t="s">
        <v>32</v>
      </c>
      <c r="B359" s="7" t="s">
        <v>15</v>
      </c>
      <c r="C359" s="7" t="s">
        <v>21</v>
      </c>
      <c r="D359" s="8">
        <v>2720</v>
      </c>
    </row>
    <row r="360" spans="1:4" x14ac:dyDescent="0.3">
      <c r="A360" s="6" t="s">
        <v>32</v>
      </c>
      <c r="B360" s="7" t="s">
        <v>15</v>
      </c>
      <c r="C360" s="7" t="s">
        <v>13</v>
      </c>
      <c r="D360" s="8">
        <v>3870</v>
      </c>
    </row>
    <row r="361" spans="1:4" x14ac:dyDescent="0.3">
      <c r="A361" s="6" t="s">
        <v>32</v>
      </c>
      <c r="B361" s="7" t="s">
        <v>15</v>
      </c>
      <c r="C361" s="7" t="s">
        <v>10</v>
      </c>
      <c r="D361" s="8">
        <v>1190</v>
      </c>
    </row>
    <row r="362" spans="1:4" x14ac:dyDescent="0.3">
      <c r="A362" s="6" t="s">
        <v>33</v>
      </c>
      <c r="B362" s="7" t="s">
        <v>12</v>
      </c>
      <c r="C362" s="7" t="s">
        <v>24</v>
      </c>
      <c r="D362" s="8">
        <v>6040</v>
      </c>
    </row>
    <row r="363" spans="1:4" x14ac:dyDescent="0.3">
      <c r="A363" s="6" t="s">
        <v>33</v>
      </c>
      <c r="B363" s="7" t="s">
        <v>12</v>
      </c>
      <c r="C363" s="7" t="s">
        <v>18</v>
      </c>
      <c r="D363" s="8">
        <v>1550</v>
      </c>
    </row>
    <row r="364" spans="1:4" x14ac:dyDescent="0.3">
      <c r="A364" s="6" t="s">
        <v>33</v>
      </c>
      <c r="B364" s="7" t="s">
        <v>12</v>
      </c>
      <c r="C364" s="7" t="s">
        <v>21</v>
      </c>
      <c r="D364" s="8">
        <v>4250</v>
      </c>
    </row>
    <row r="365" spans="1:4" x14ac:dyDescent="0.3">
      <c r="A365" s="6" t="s">
        <v>33</v>
      </c>
      <c r="B365" s="7" t="s">
        <v>12</v>
      </c>
      <c r="C365" s="7" t="s">
        <v>13</v>
      </c>
      <c r="D365" s="8">
        <v>3970</v>
      </c>
    </row>
    <row r="366" spans="1:4" x14ac:dyDescent="0.3">
      <c r="A366" s="6" t="s">
        <v>33</v>
      </c>
      <c r="B366" s="7" t="s">
        <v>12</v>
      </c>
      <c r="C366" s="7" t="s">
        <v>10</v>
      </c>
      <c r="D366" s="8">
        <v>640</v>
      </c>
    </row>
    <row r="367" spans="1:4" x14ac:dyDescent="0.3">
      <c r="A367" s="6" t="s">
        <v>33</v>
      </c>
      <c r="B367" s="7" t="s">
        <v>9</v>
      </c>
      <c r="C367" s="7" t="s">
        <v>24</v>
      </c>
      <c r="D367" s="8">
        <v>8500</v>
      </c>
    </row>
    <row r="368" spans="1:4" x14ac:dyDescent="0.3">
      <c r="A368" s="6" t="s">
        <v>33</v>
      </c>
      <c r="B368" s="7" t="s">
        <v>9</v>
      </c>
      <c r="C368" s="7" t="s">
        <v>18</v>
      </c>
      <c r="D368" s="8">
        <v>1510</v>
      </c>
    </row>
    <row r="369" spans="1:4" x14ac:dyDescent="0.3">
      <c r="A369" s="6" t="s">
        <v>33</v>
      </c>
      <c r="B369" s="7" t="s">
        <v>9</v>
      </c>
      <c r="C369" s="7" t="s">
        <v>21</v>
      </c>
      <c r="D369" s="8">
        <v>3230</v>
      </c>
    </row>
    <row r="370" spans="1:4" x14ac:dyDescent="0.3">
      <c r="A370" s="6" t="s">
        <v>33</v>
      </c>
      <c r="B370" s="7" t="s">
        <v>9</v>
      </c>
      <c r="C370" s="7" t="s">
        <v>13</v>
      </c>
      <c r="D370" s="8">
        <v>3490</v>
      </c>
    </row>
    <row r="371" spans="1:4" x14ac:dyDescent="0.3">
      <c r="A371" s="6" t="s">
        <v>33</v>
      </c>
      <c r="B371" s="7" t="s">
        <v>9</v>
      </c>
      <c r="C371" s="7" t="s">
        <v>10</v>
      </c>
      <c r="D371" s="8">
        <v>980</v>
      </c>
    </row>
    <row r="372" spans="1:4" x14ac:dyDescent="0.3">
      <c r="A372" s="6" t="s">
        <v>33</v>
      </c>
      <c r="B372" s="7" t="s">
        <v>17</v>
      </c>
      <c r="C372" s="7" t="s">
        <v>24</v>
      </c>
      <c r="D372" s="8">
        <v>7440</v>
      </c>
    </row>
    <row r="373" spans="1:4" x14ac:dyDescent="0.3">
      <c r="A373" s="6" t="s">
        <v>33</v>
      </c>
      <c r="B373" s="7" t="s">
        <v>17</v>
      </c>
      <c r="C373" s="7" t="s">
        <v>18</v>
      </c>
      <c r="D373" s="8">
        <v>1770</v>
      </c>
    </row>
    <row r="374" spans="1:4" x14ac:dyDescent="0.3">
      <c r="A374" s="6" t="s">
        <v>33</v>
      </c>
      <c r="B374" s="7" t="s">
        <v>17</v>
      </c>
      <c r="C374" s="7" t="s">
        <v>21</v>
      </c>
      <c r="D374" s="8">
        <v>1430</v>
      </c>
    </row>
    <row r="375" spans="1:4" x14ac:dyDescent="0.3">
      <c r="A375" s="6" t="s">
        <v>33</v>
      </c>
      <c r="B375" s="7" t="s">
        <v>17</v>
      </c>
      <c r="C375" s="7" t="s">
        <v>13</v>
      </c>
      <c r="D375" s="8">
        <v>3700</v>
      </c>
    </row>
    <row r="376" spans="1:4" x14ac:dyDescent="0.3">
      <c r="A376" s="6" t="s">
        <v>33</v>
      </c>
      <c r="B376" s="7" t="s">
        <v>17</v>
      </c>
      <c r="C376" s="7" t="s">
        <v>10</v>
      </c>
      <c r="D376" s="8">
        <v>1430</v>
      </c>
    </row>
    <row r="377" spans="1:4" x14ac:dyDescent="0.3">
      <c r="A377" s="6" t="s">
        <v>33</v>
      </c>
      <c r="B377" s="7" t="s">
        <v>15</v>
      </c>
      <c r="C377" s="7" t="s">
        <v>24</v>
      </c>
      <c r="D377" s="8">
        <v>4460</v>
      </c>
    </row>
    <row r="378" spans="1:4" x14ac:dyDescent="0.3">
      <c r="A378" s="6" t="s">
        <v>33</v>
      </c>
      <c r="B378" s="7" t="s">
        <v>15</v>
      </c>
      <c r="C378" s="7" t="s">
        <v>18</v>
      </c>
      <c r="D378" s="8">
        <v>1270</v>
      </c>
    </row>
    <row r="379" spans="1:4" x14ac:dyDescent="0.3">
      <c r="A379" s="6" t="s">
        <v>33</v>
      </c>
      <c r="B379" s="7" t="s">
        <v>15</v>
      </c>
      <c r="C379" s="7" t="s">
        <v>21</v>
      </c>
      <c r="D379" s="8">
        <v>2750</v>
      </c>
    </row>
    <row r="380" spans="1:4" x14ac:dyDescent="0.3">
      <c r="A380" s="6" t="s">
        <v>33</v>
      </c>
      <c r="B380" s="7" t="s">
        <v>15</v>
      </c>
      <c r="C380" s="7" t="s">
        <v>13</v>
      </c>
      <c r="D380" s="8">
        <v>3910</v>
      </c>
    </row>
    <row r="381" spans="1:4" x14ac:dyDescent="0.3">
      <c r="A381" s="6" t="s">
        <v>33</v>
      </c>
      <c r="B381" s="7" t="s">
        <v>15</v>
      </c>
      <c r="C381" s="7" t="s">
        <v>10</v>
      </c>
      <c r="D381" s="8">
        <v>1200</v>
      </c>
    </row>
    <row r="382" spans="1:4" x14ac:dyDescent="0.3">
      <c r="A382" s="6" t="s">
        <v>34</v>
      </c>
      <c r="B382" s="7" t="s">
        <v>12</v>
      </c>
      <c r="C382" s="7" t="s">
        <v>24</v>
      </c>
      <c r="D382" s="8">
        <v>6090</v>
      </c>
    </row>
    <row r="383" spans="1:4" x14ac:dyDescent="0.3">
      <c r="A383" s="6" t="s">
        <v>34</v>
      </c>
      <c r="B383" s="7" t="s">
        <v>12</v>
      </c>
      <c r="C383" s="7" t="s">
        <v>18</v>
      </c>
      <c r="D383" s="8">
        <v>1560</v>
      </c>
    </row>
    <row r="384" spans="1:4" x14ac:dyDescent="0.3">
      <c r="A384" s="6" t="s">
        <v>34</v>
      </c>
      <c r="B384" s="7" t="s">
        <v>12</v>
      </c>
      <c r="C384" s="7" t="s">
        <v>21</v>
      </c>
      <c r="D384" s="8">
        <v>4290</v>
      </c>
    </row>
    <row r="385" spans="1:4" x14ac:dyDescent="0.3">
      <c r="A385" s="6" t="s">
        <v>34</v>
      </c>
      <c r="B385" s="7" t="s">
        <v>12</v>
      </c>
      <c r="C385" s="7" t="s">
        <v>13</v>
      </c>
      <c r="D385" s="8">
        <v>4000</v>
      </c>
    </row>
    <row r="386" spans="1:4" x14ac:dyDescent="0.3">
      <c r="A386" s="6" t="s">
        <v>34</v>
      </c>
      <c r="B386" s="7" t="s">
        <v>12</v>
      </c>
      <c r="C386" s="7" t="s">
        <v>10</v>
      </c>
      <c r="D386" s="8">
        <v>650</v>
      </c>
    </row>
    <row r="387" spans="1:4" x14ac:dyDescent="0.3">
      <c r="A387" s="6" t="s">
        <v>34</v>
      </c>
      <c r="B387" s="7" t="s">
        <v>9</v>
      </c>
      <c r="C387" s="7" t="s">
        <v>24</v>
      </c>
      <c r="D387" s="8">
        <v>8570</v>
      </c>
    </row>
    <row r="388" spans="1:4" x14ac:dyDescent="0.3">
      <c r="A388" s="6" t="s">
        <v>34</v>
      </c>
      <c r="B388" s="7" t="s">
        <v>9</v>
      </c>
      <c r="C388" s="7" t="s">
        <v>18</v>
      </c>
      <c r="D388" s="8">
        <v>1530</v>
      </c>
    </row>
    <row r="389" spans="1:4" x14ac:dyDescent="0.3">
      <c r="A389" s="6" t="s">
        <v>34</v>
      </c>
      <c r="B389" s="7" t="s">
        <v>9</v>
      </c>
      <c r="C389" s="7" t="s">
        <v>21</v>
      </c>
      <c r="D389" s="8">
        <v>3260</v>
      </c>
    </row>
    <row r="390" spans="1:4" x14ac:dyDescent="0.3">
      <c r="A390" s="6" t="s">
        <v>34</v>
      </c>
      <c r="B390" s="7" t="s">
        <v>9</v>
      </c>
      <c r="C390" s="7" t="s">
        <v>13</v>
      </c>
      <c r="D390" s="8">
        <v>3520</v>
      </c>
    </row>
    <row r="391" spans="1:4" x14ac:dyDescent="0.3">
      <c r="A391" s="6" t="s">
        <v>34</v>
      </c>
      <c r="B391" s="7" t="s">
        <v>9</v>
      </c>
      <c r="C391" s="7" t="s">
        <v>10</v>
      </c>
      <c r="D391" s="8">
        <v>990</v>
      </c>
    </row>
    <row r="392" spans="1:4" x14ac:dyDescent="0.3">
      <c r="A392" s="6" t="s">
        <v>34</v>
      </c>
      <c r="B392" s="7" t="s">
        <v>17</v>
      </c>
      <c r="C392" s="7" t="s">
        <v>24</v>
      </c>
      <c r="D392" s="8">
        <v>7500</v>
      </c>
    </row>
    <row r="393" spans="1:4" x14ac:dyDescent="0.3">
      <c r="A393" s="6" t="s">
        <v>34</v>
      </c>
      <c r="B393" s="7" t="s">
        <v>17</v>
      </c>
      <c r="C393" s="7" t="s">
        <v>18</v>
      </c>
      <c r="D393" s="8">
        <v>1790</v>
      </c>
    </row>
    <row r="394" spans="1:4" x14ac:dyDescent="0.3">
      <c r="A394" s="6" t="s">
        <v>34</v>
      </c>
      <c r="B394" s="7" t="s">
        <v>17</v>
      </c>
      <c r="C394" s="7" t="s">
        <v>21</v>
      </c>
      <c r="D394" s="8">
        <v>1440</v>
      </c>
    </row>
    <row r="395" spans="1:4" x14ac:dyDescent="0.3">
      <c r="A395" s="6" t="s">
        <v>34</v>
      </c>
      <c r="B395" s="7" t="s">
        <v>17</v>
      </c>
      <c r="C395" s="7" t="s">
        <v>13</v>
      </c>
      <c r="D395" s="8">
        <v>3730</v>
      </c>
    </row>
    <row r="396" spans="1:4" x14ac:dyDescent="0.3">
      <c r="A396" s="6" t="s">
        <v>34</v>
      </c>
      <c r="B396" s="7" t="s">
        <v>17</v>
      </c>
      <c r="C396" s="7" t="s">
        <v>10</v>
      </c>
      <c r="D396" s="8">
        <v>1440</v>
      </c>
    </row>
    <row r="397" spans="1:4" x14ac:dyDescent="0.3">
      <c r="A397" s="6" t="s">
        <v>34</v>
      </c>
      <c r="B397" s="7" t="s">
        <v>15</v>
      </c>
      <c r="C397" s="7" t="s">
        <v>24</v>
      </c>
      <c r="D397" s="8">
        <v>4500</v>
      </c>
    </row>
    <row r="398" spans="1:4" x14ac:dyDescent="0.3">
      <c r="A398" s="6" t="s">
        <v>34</v>
      </c>
      <c r="B398" s="7" t="s">
        <v>15</v>
      </c>
      <c r="C398" s="7" t="s">
        <v>18</v>
      </c>
      <c r="D398" s="8">
        <v>1280</v>
      </c>
    </row>
    <row r="399" spans="1:4" x14ac:dyDescent="0.3">
      <c r="A399" s="6" t="s">
        <v>34</v>
      </c>
      <c r="B399" s="7" t="s">
        <v>15</v>
      </c>
      <c r="C399" s="7" t="s">
        <v>21</v>
      </c>
      <c r="D399" s="8">
        <v>2770</v>
      </c>
    </row>
    <row r="400" spans="1:4" x14ac:dyDescent="0.3">
      <c r="A400" s="6" t="s">
        <v>34</v>
      </c>
      <c r="B400" s="7" t="s">
        <v>15</v>
      </c>
      <c r="C400" s="7" t="s">
        <v>13</v>
      </c>
      <c r="D400" s="8">
        <v>3940</v>
      </c>
    </row>
    <row r="401" spans="1:4" x14ac:dyDescent="0.3">
      <c r="A401" s="6" t="s">
        <v>34</v>
      </c>
      <c r="B401" s="7" t="s">
        <v>15</v>
      </c>
      <c r="C401" s="7" t="s">
        <v>10</v>
      </c>
      <c r="D401" s="8">
        <v>1210</v>
      </c>
    </row>
    <row r="402" spans="1:4" x14ac:dyDescent="0.3">
      <c r="A402" s="6" t="s">
        <v>49</v>
      </c>
      <c r="B402" s="7" t="s">
        <v>12</v>
      </c>
      <c r="C402" s="7" t="s">
        <v>24</v>
      </c>
      <c r="D402" s="8">
        <v>6140</v>
      </c>
    </row>
    <row r="403" spans="1:4" x14ac:dyDescent="0.3">
      <c r="A403" s="6" t="s">
        <v>49</v>
      </c>
      <c r="B403" s="7" t="s">
        <v>12</v>
      </c>
      <c r="C403" s="7" t="s">
        <v>18</v>
      </c>
      <c r="D403" s="8">
        <v>1580</v>
      </c>
    </row>
    <row r="404" spans="1:4" x14ac:dyDescent="0.3">
      <c r="A404" s="6" t="s">
        <v>49</v>
      </c>
      <c r="B404" s="7" t="s">
        <v>12</v>
      </c>
      <c r="C404" s="7" t="s">
        <v>21</v>
      </c>
      <c r="D404" s="8">
        <v>4320</v>
      </c>
    </row>
    <row r="405" spans="1:4" x14ac:dyDescent="0.3">
      <c r="A405" s="6" t="s">
        <v>49</v>
      </c>
      <c r="B405" s="7" t="s">
        <v>12</v>
      </c>
      <c r="C405" s="7" t="s">
        <v>13</v>
      </c>
      <c r="D405" s="8">
        <v>4030</v>
      </c>
    </row>
    <row r="406" spans="1:4" x14ac:dyDescent="0.3">
      <c r="A406" s="6" t="s">
        <v>49</v>
      </c>
      <c r="B406" s="7" t="s">
        <v>12</v>
      </c>
      <c r="C406" s="7" t="s">
        <v>10</v>
      </c>
      <c r="D406" s="8">
        <v>650</v>
      </c>
    </row>
    <row r="407" spans="1:4" x14ac:dyDescent="0.3">
      <c r="A407" s="6" t="s">
        <v>49</v>
      </c>
      <c r="B407" s="7" t="s">
        <v>9</v>
      </c>
      <c r="C407" s="7" t="s">
        <v>24</v>
      </c>
      <c r="D407" s="8">
        <v>8640</v>
      </c>
    </row>
    <row r="408" spans="1:4" x14ac:dyDescent="0.3">
      <c r="A408" s="6" t="s">
        <v>49</v>
      </c>
      <c r="B408" s="7" t="s">
        <v>9</v>
      </c>
      <c r="C408" s="7" t="s">
        <v>18</v>
      </c>
      <c r="D408" s="8">
        <v>1540</v>
      </c>
    </row>
    <row r="409" spans="1:4" x14ac:dyDescent="0.3">
      <c r="A409" s="6" t="s">
        <v>49</v>
      </c>
      <c r="B409" s="7" t="s">
        <v>9</v>
      </c>
      <c r="C409" s="7" t="s">
        <v>21</v>
      </c>
      <c r="D409" s="8">
        <v>3280</v>
      </c>
    </row>
    <row r="410" spans="1:4" x14ac:dyDescent="0.3">
      <c r="A410" s="6" t="s">
        <v>49</v>
      </c>
      <c r="B410" s="7" t="s">
        <v>9</v>
      </c>
      <c r="C410" s="7" t="s">
        <v>13</v>
      </c>
      <c r="D410" s="8">
        <v>3550</v>
      </c>
    </row>
    <row r="411" spans="1:4" x14ac:dyDescent="0.3">
      <c r="A411" s="6" t="s">
        <v>49</v>
      </c>
      <c r="B411" s="7" t="s">
        <v>9</v>
      </c>
      <c r="C411" s="7" t="s">
        <v>10</v>
      </c>
      <c r="D411" s="8">
        <v>1000</v>
      </c>
    </row>
    <row r="412" spans="1:4" x14ac:dyDescent="0.3">
      <c r="A412" s="6" t="s">
        <v>49</v>
      </c>
      <c r="B412" s="7" t="s">
        <v>17</v>
      </c>
      <c r="C412" s="7" t="s">
        <v>24</v>
      </c>
      <c r="D412" s="8">
        <v>7570</v>
      </c>
    </row>
    <row r="413" spans="1:4" x14ac:dyDescent="0.3">
      <c r="A413" s="6" t="s">
        <v>49</v>
      </c>
      <c r="B413" s="7" t="s">
        <v>17</v>
      </c>
      <c r="C413" s="7" t="s">
        <v>18</v>
      </c>
      <c r="D413" s="8">
        <v>1800</v>
      </c>
    </row>
    <row r="414" spans="1:4" x14ac:dyDescent="0.3">
      <c r="A414" s="6" t="s">
        <v>49</v>
      </c>
      <c r="B414" s="7" t="s">
        <v>17</v>
      </c>
      <c r="C414" s="7" t="s">
        <v>21</v>
      </c>
      <c r="D414" s="8">
        <v>1450</v>
      </c>
    </row>
    <row r="415" spans="1:4" x14ac:dyDescent="0.3">
      <c r="A415" s="6" t="s">
        <v>49</v>
      </c>
      <c r="B415" s="7" t="s">
        <v>17</v>
      </c>
      <c r="C415" s="7" t="s">
        <v>13</v>
      </c>
      <c r="D415" s="8">
        <v>3760</v>
      </c>
    </row>
    <row r="416" spans="1:4" x14ac:dyDescent="0.3">
      <c r="A416" s="6" t="s">
        <v>49</v>
      </c>
      <c r="B416" s="7" t="s">
        <v>17</v>
      </c>
      <c r="C416" s="7" t="s">
        <v>10</v>
      </c>
      <c r="D416" s="8">
        <v>1450</v>
      </c>
    </row>
    <row r="417" spans="1:4" x14ac:dyDescent="0.3">
      <c r="A417" s="6" t="s">
        <v>49</v>
      </c>
      <c r="B417" s="7" t="s">
        <v>15</v>
      </c>
      <c r="C417" s="7" t="s">
        <v>24</v>
      </c>
      <c r="D417" s="8">
        <v>4530</v>
      </c>
    </row>
    <row r="418" spans="1:4" x14ac:dyDescent="0.3">
      <c r="A418" s="6" t="s">
        <v>49</v>
      </c>
      <c r="B418" s="7" t="s">
        <v>15</v>
      </c>
      <c r="C418" s="7" t="s">
        <v>18</v>
      </c>
      <c r="D418" s="8">
        <v>1290</v>
      </c>
    </row>
    <row r="419" spans="1:4" x14ac:dyDescent="0.3">
      <c r="A419" s="6" t="s">
        <v>49</v>
      </c>
      <c r="B419" s="7" t="s">
        <v>15</v>
      </c>
      <c r="C419" s="7" t="s">
        <v>21</v>
      </c>
      <c r="D419" s="8">
        <v>2790</v>
      </c>
    </row>
    <row r="420" spans="1:4" x14ac:dyDescent="0.3">
      <c r="A420" s="6" t="s">
        <v>49</v>
      </c>
      <c r="B420" s="7" t="s">
        <v>15</v>
      </c>
      <c r="C420" s="7" t="s">
        <v>13</v>
      </c>
      <c r="D420" s="8">
        <v>3970</v>
      </c>
    </row>
    <row r="421" spans="1:4" x14ac:dyDescent="0.3">
      <c r="A421" s="6" t="s">
        <v>49</v>
      </c>
      <c r="B421" s="7" t="s">
        <v>15</v>
      </c>
      <c r="C421" s="7" t="s">
        <v>10</v>
      </c>
      <c r="D421" s="8">
        <v>1220</v>
      </c>
    </row>
    <row r="422" spans="1:4" x14ac:dyDescent="0.3">
      <c r="A422" s="6" t="s">
        <v>35</v>
      </c>
      <c r="B422" s="7" t="s">
        <v>12</v>
      </c>
      <c r="C422" s="7" t="s">
        <v>24</v>
      </c>
      <c r="D422" s="8">
        <v>6190</v>
      </c>
    </row>
    <row r="423" spans="1:4" x14ac:dyDescent="0.3">
      <c r="A423" s="6" t="s">
        <v>35</v>
      </c>
      <c r="B423" s="7" t="s">
        <v>12</v>
      </c>
      <c r="C423" s="7" t="s">
        <v>18</v>
      </c>
      <c r="D423" s="8">
        <v>1590</v>
      </c>
    </row>
    <row r="424" spans="1:4" x14ac:dyDescent="0.3">
      <c r="A424" s="6" t="s">
        <v>35</v>
      </c>
      <c r="B424" s="7" t="s">
        <v>12</v>
      </c>
      <c r="C424" s="7" t="s">
        <v>21</v>
      </c>
      <c r="D424" s="8">
        <v>4360</v>
      </c>
    </row>
    <row r="425" spans="1:4" x14ac:dyDescent="0.3">
      <c r="A425" s="6" t="s">
        <v>35</v>
      </c>
      <c r="B425" s="7" t="s">
        <v>12</v>
      </c>
      <c r="C425" s="7" t="s">
        <v>13</v>
      </c>
      <c r="D425" s="8">
        <v>4070</v>
      </c>
    </row>
    <row r="426" spans="1:4" x14ac:dyDescent="0.3">
      <c r="A426" s="6" t="s">
        <v>35</v>
      </c>
      <c r="B426" s="7" t="s">
        <v>12</v>
      </c>
      <c r="C426" s="7" t="s">
        <v>10</v>
      </c>
      <c r="D426" s="8">
        <v>660</v>
      </c>
    </row>
    <row r="427" spans="1:4" x14ac:dyDescent="0.3">
      <c r="A427" s="6" t="s">
        <v>35</v>
      </c>
      <c r="B427" s="7" t="s">
        <v>9</v>
      </c>
      <c r="C427" s="7" t="s">
        <v>24</v>
      </c>
      <c r="D427" s="8">
        <v>8720</v>
      </c>
    </row>
    <row r="428" spans="1:4" x14ac:dyDescent="0.3">
      <c r="A428" s="6" t="s">
        <v>35</v>
      </c>
      <c r="B428" s="7" t="s">
        <v>9</v>
      </c>
      <c r="C428" s="7" t="s">
        <v>18</v>
      </c>
      <c r="D428" s="8">
        <v>1550</v>
      </c>
    </row>
    <row r="429" spans="1:4" x14ac:dyDescent="0.3">
      <c r="A429" s="6" t="s">
        <v>35</v>
      </c>
      <c r="B429" s="7" t="s">
        <v>9</v>
      </c>
      <c r="C429" s="7" t="s">
        <v>21</v>
      </c>
      <c r="D429" s="8">
        <v>3310</v>
      </c>
    </row>
    <row r="430" spans="1:4" x14ac:dyDescent="0.3">
      <c r="A430" s="6" t="s">
        <v>35</v>
      </c>
      <c r="B430" s="7" t="s">
        <v>9</v>
      </c>
      <c r="C430" s="7" t="s">
        <v>13</v>
      </c>
      <c r="D430" s="8">
        <v>3580</v>
      </c>
    </row>
    <row r="431" spans="1:4" x14ac:dyDescent="0.3">
      <c r="A431" s="6" t="s">
        <v>35</v>
      </c>
      <c r="B431" s="7" t="s">
        <v>9</v>
      </c>
      <c r="C431" s="7" t="s">
        <v>10</v>
      </c>
      <c r="D431" s="8">
        <v>1010</v>
      </c>
    </row>
    <row r="432" spans="1:4" x14ac:dyDescent="0.3">
      <c r="A432" s="6" t="s">
        <v>35</v>
      </c>
      <c r="B432" s="7" t="s">
        <v>17</v>
      </c>
      <c r="C432" s="7" t="s">
        <v>24</v>
      </c>
      <c r="D432" s="8">
        <v>7630</v>
      </c>
    </row>
    <row r="433" spans="1:4" x14ac:dyDescent="0.3">
      <c r="A433" s="6" t="s">
        <v>35</v>
      </c>
      <c r="B433" s="7" t="s">
        <v>17</v>
      </c>
      <c r="C433" s="7" t="s">
        <v>18</v>
      </c>
      <c r="D433" s="8">
        <v>1820</v>
      </c>
    </row>
    <row r="434" spans="1:4" x14ac:dyDescent="0.3">
      <c r="A434" s="6" t="s">
        <v>35</v>
      </c>
      <c r="B434" s="7" t="s">
        <v>17</v>
      </c>
      <c r="C434" s="7" t="s">
        <v>21</v>
      </c>
      <c r="D434" s="8">
        <v>1460</v>
      </c>
    </row>
    <row r="435" spans="1:4" x14ac:dyDescent="0.3">
      <c r="A435" s="6" t="s">
        <v>35</v>
      </c>
      <c r="B435" s="7" t="s">
        <v>17</v>
      </c>
      <c r="C435" s="7" t="s">
        <v>13</v>
      </c>
      <c r="D435" s="8">
        <v>3800</v>
      </c>
    </row>
    <row r="436" spans="1:4" x14ac:dyDescent="0.3">
      <c r="A436" s="6" t="s">
        <v>35</v>
      </c>
      <c r="B436" s="7" t="s">
        <v>17</v>
      </c>
      <c r="C436" s="7" t="s">
        <v>10</v>
      </c>
      <c r="D436" s="8">
        <v>1460</v>
      </c>
    </row>
    <row r="437" spans="1:4" x14ac:dyDescent="0.3">
      <c r="A437" s="6" t="s">
        <v>35</v>
      </c>
      <c r="B437" s="7" t="s">
        <v>15</v>
      </c>
      <c r="C437" s="7" t="s">
        <v>24</v>
      </c>
      <c r="D437" s="8">
        <v>4570</v>
      </c>
    </row>
    <row r="438" spans="1:4" x14ac:dyDescent="0.3">
      <c r="A438" s="6" t="s">
        <v>35</v>
      </c>
      <c r="B438" s="7" t="s">
        <v>15</v>
      </c>
      <c r="C438" s="7" t="s">
        <v>18</v>
      </c>
      <c r="D438" s="8">
        <v>1310</v>
      </c>
    </row>
    <row r="439" spans="1:4" x14ac:dyDescent="0.3">
      <c r="A439" s="6" t="s">
        <v>35</v>
      </c>
      <c r="B439" s="7" t="s">
        <v>15</v>
      </c>
      <c r="C439" s="7" t="s">
        <v>21</v>
      </c>
      <c r="D439" s="8">
        <v>2810</v>
      </c>
    </row>
    <row r="440" spans="1:4" x14ac:dyDescent="0.3">
      <c r="A440" s="6" t="s">
        <v>35</v>
      </c>
      <c r="B440" s="7" t="s">
        <v>15</v>
      </c>
      <c r="C440" s="7" t="s">
        <v>13</v>
      </c>
      <c r="D440" s="8">
        <v>4010</v>
      </c>
    </row>
    <row r="441" spans="1:4" x14ac:dyDescent="0.3">
      <c r="A441" s="6" t="s">
        <v>35</v>
      </c>
      <c r="B441" s="7" t="s">
        <v>15</v>
      </c>
      <c r="C441" s="7" t="s">
        <v>10</v>
      </c>
      <c r="D441" s="8">
        <v>1230</v>
      </c>
    </row>
    <row r="442" spans="1:4" x14ac:dyDescent="0.3">
      <c r="A442" s="6" t="s">
        <v>36</v>
      </c>
      <c r="B442" s="7" t="s">
        <v>12</v>
      </c>
      <c r="C442" s="7" t="s">
        <v>24</v>
      </c>
      <c r="D442" s="8">
        <v>7490</v>
      </c>
    </row>
    <row r="443" spans="1:4" x14ac:dyDescent="0.3">
      <c r="A443" s="6" t="s">
        <v>36</v>
      </c>
      <c r="B443" s="7" t="s">
        <v>12</v>
      </c>
      <c r="C443" s="7" t="s">
        <v>18</v>
      </c>
      <c r="D443" s="8">
        <v>1920</v>
      </c>
    </row>
    <row r="444" spans="1:4" x14ac:dyDescent="0.3">
      <c r="A444" s="6" t="s">
        <v>36</v>
      </c>
      <c r="B444" s="7" t="s">
        <v>12</v>
      </c>
      <c r="C444" s="7" t="s">
        <v>21</v>
      </c>
      <c r="D444" s="8">
        <v>5280</v>
      </c>
    </row>
    <row r="445" spans="1:4" x14ac:dyDescent="0.3">
      <c r="A445" s="6" t="s">
        <v>36</v>
      </c>
      <c r="B445" s="7" t="s">
        <v>12</v>
      </c>
      <c r="C445" s="7" t="s">
        <v>13</v>
      </c>
      <c r="D445" s="8">
        <v>4920</v>
      </c>
    </row>
    <row r="446" spans="1:4" x14ac:dyDescent="0.3">
      <c r="A446" s="6" t="s">
        <v>36</v>
      </c>
      <c r="B446" s="7" t="s">
        <v>12</v>
      </c>
      <c r="C446" s="7" t="s">
        <v>10</v>
      </c>
      <c r="D446" s="8">
        <v>800</v>
      </c>
    </row>
    <row r="447" spans="1:4" x14ac:dyDescent="0.3">
      <c r="A447" s="6" t="s">
        <v>36</v>
      </c>
      <c r="B447" s="7" t="s">
        <v>9</v>
      </c>
      <c r="C447" s="7" t="s">
        <v>24</v>
      </c>
      <c r="D447" s="8">
        <v>10540</v>
      </c>
    </row>
    <row r="448" spans="1:4" x14ac:dyDescent="0.3">
      <c r="A448" s="6" t="s">
        <v>36</v>
      </c>
      <c r="B448" s="7" t="s">
        <v>9</v>
      </c>
      <c r="C448" s="7" t="s">
        <v>18</v>
      </c>
      <c r="D448" s="8">
        <v>1880</v>
      </c>
    </row>
    <row r="449" spans="1:4" x14ac:dyDescent="0.3">
      <c r="A449" s="6" t="s">
        <v>36</v>
      </c>
      <c r="B449" s="7" t="s">
        <v>9</v>
      </c>
      <c r="C449" s="7" t="s">
        <v>21</v>
      </c>
      <c r="D449" s="8">
        <v>4010</v>
      </c>
    </row>
    <row r="450" spans="1:4" x14ac:dyDescent="0.3">
      <c r="A450" s="6" t="s">
        <v>36</v>
      </c>
      <c r="B450" s="7" t="s">
        <v>9</v>
      </c>
      <c r="C450" s="7" t="s">
        <v>13</v>
      </c>
      <c r="D450" s="8">
        <v>4330</v>
      </c>
    </row>
    <row r="451" spans="1:4" x14ac:dyDescent="0.3">
      <c r="A451" s="6" t="s">
        <v>36</v>
      </c>
      <c r="B451" s="7" t="s">
        <v>9</v>
      </c>
      <c r="C451" s="7" t="s">
        <v>10</v>
      </c>
      <c r="D451" s="8">
        <v>1220</v>
      </c>
    </row>
    <row r="452" spans="1:4" x14ac:dyDescent="0.3">
      <c r="A452" s="6" t="s">
        <v>36</v>
      </c>
      <c r="B452" s="7" t="s">
        <v>17</v>
      </c>
      <c r="C452" s="7" t="s">
        <v>24</v>
      </c>
      <c r="D452" s="8">
        <v>9230</v>
      </c>
    </row>
    <row r="453" spans="1:4" x14ac:dyDescent="0.3">
      <c r="A453" s="6" t="s">
        <v>36</v>
      </c>
      <c r="B453" s="7" t="s">
        <v>17</v>
      </c>
      <c r="C453" s="7" t="s">
        <v>18</v>
      </c>
      <c r="D453" s="8">
        <v>2200</v>
      </c>
    </row>
    <row r="454" spans="1:4" x14ac:dyDescent="0.3">
      <c r="A454" s="6" t="s">
        <v>36</v>
      </c>
      <c r="B454" s="7" t="s">
        <v>17</v>
      </c>
      <c r="C454" s="7" t="s">
        <v>21</v>
      </c>
      <c r="D454" s="8">
        <v>1770</v>
      </c>
    </row>
    <row r="455" spans="1:4" x14ac:dyDescent="0.3">
      <c r="A455" s="6" t="s">
        <v>36</v>
      </c>
      <c r="B455" s="7" t="s">
        <v>17</v>
      </c>
      <c r="C455" s="7" t="s">
        <v>13</v>
      </c>
      <c r="D455" s="8">
        <v>4590</v>
      </c>
    </row>
    <row r="456" spans="1:4" x14ac:dyDescent="0.3">
      <c r="A456" s="6" t="s">
        <v>36</v>
      </c>
      <c r="B456" s="7" t="s">
        <v>17</v>
      </c>
      <c r="C456" s="7" t="s">
        <v>10</v>
      </c>
      <c r="D456" s="8">
        <v>1770</v>
      </c>
    </row>
    <row r="457" spans="1:4" x14ac:dyDescent="0.3">
      <c r="A457" s="6" t="s">
        <v>36</v>
      </c>
      <c r="B457" s="7" t="s">
        <v>15</v>
      </c>
      <c r="C457" s="7" t="s">
        <v>24</v>
      </c>
      <c r="D457" s="8">
        <v>5530</v>
      </c>
    </row>
    <row r="458" spans="1:4" x14ac:dyDescent="0.3">
      <c r="A458" s="6" t="s">
        <v>36</v>
      </c>
      <c r="B458" s="7" t="s">
        <v>15</v>
      </c>
      <c r="C458" s="7" t="s">
        <v>18</v>
      </c>
      <c r="D458" s="8">
        <v>1580</v>
      </c>
    </row>
    <row r="459" spans="1:4" x14ac:dyDescent="0.3">
      <c r="A459" s="6" t="s">
        <v>36</v>
      </c>
      <c r="B459" s="7" t="s">
        <v>15</v>
      </c>
      <c r="C459" s="7" t="s">
        <v>21</v>
      </c>
      <c r="D459" s="8">
        <v>3410</v>
      </c>
    </row>
    <row r="460" spans="1:4" x14ac:dyDescent="0.3">
      <c r="A460" s="6" t="s">
        <v>36</v>
      </c>
      <c r="B460" s="7" t="s">
        <v>15</v>
      </c>
      <c r="C460" s="7" t="s">
        <v>13</v>
      </c>
      <c r="D460" s="8">
        <v>4850</v>
      </c>
    </row>
    <row r="461" spans="1:4" x14ac:dyDescent="0.3">
      <c r="A461" s="6" t="s">
        <v>36</v>
      </c>
      <c r="B461" s="7" t="s">
        <v>15</v>
      </c>
      <c r="C461" s="7" t="s">
        <v>10</v>
      </c>
      <c r="D461" s="8">
        <v>1490</v>
      </c>
    </row>
    <row r="462" spans="1:4" x14ac:dyDescent="0.3">
      <c r="A462" s="6" t="s">
        <v>50</v>
      </c>
      <c r="B462" s="7" t="s">
        <v>12</v>
      </c>
      <c r="C462" s="7" t="s">
        <v>24</v>
      </c>
      <c r="D462" s="8">
        <v>7550</v>
      </c>
    </row>
    <row r="463" spans="1:4" x14ac:dyDescent="0.3">
      <c r="A463" s="6" t="s">
        <v>50</v>
      </c>
      <c r="B463" s="7" t="s">
        <v>12</v>
      </c>
      <c r="C463" s="7" t="s">
        <v>18</v>
      </c>
      <c r="D463" s="8">
        <v>1940</v>
      </c>
    </row>
    <row r="464" spans="1:4" x14ac:dyDescent="0.3">
      <c r="A464" s="6" t="s">
        <v>50</v>
      </c>
      <c r="B464" s="7" t="s">
        <v>12</v>
      </c>
      <c r="C464" s="7" t="s">
        <v>21</v>
      </c>
      <c r="D464" s="8">
        <v>5320</v>
      </c>
    </row>
    <row r="465" spans="1:4" x14ac:dyDescent="0.3">
      <c r="A465" s="6" t="s">
        <v>50</v>
      </c>
      <c r="B465" s="7" t="s">
        <v>12</v>
      </c>
      <c r="C465" s="7" t="s">
        <v>13</v>
      </c>
      <c r="D465" s="8">
        <v>4960</v>
      </c>
    </row>
    <row r="466" spans="1:4" x14ac:dyDescent="0.3">
      <c r="A466" s="6" t="s">
        <v>50</v>
      </c>
      <c r="B466" s="7" t="s">
        <v>12</v>
      </c>
      <c r="C466" s="7" t="s">
        <v>10</v>
      </c>
      <c r="D466" s="8">
        <v>800</v>
      </c>
    </row>
    <row r="467" spans="1:4" x14ac:dyDescent="0.3">
      <c r="A467" s="6" t="s">
        <v>50</v>
      </c>
      <c r="B467" s="7" t="s">
        <v>9</v>
      </c>
      <c r="C467" s="7" t="s">
        <v>24</v>
      </c>
      <c r="D467" s="8">
        <v>10630</v>
      </c>
    </row>
    <row r="468" spans="1:4" x14ac:dyDescent="0.3">
      <c r="A468" s="6" t="s">
        <v>50</v>
      </c>
      <c r="B468" s="7" t="s">
        <v>9</v>
      </c>
      <c r="C468" s="7" t="s">
        <v>18</v>
      </c>
      <c r="D468" s="8">
        <v>1890</v>
      </c>
    </row>
    <row r="469" spans="1:4" x14ac:dyDescent="0.3">
      <c r="A469" s="6" t="s">
        <v>50</v>
      </c>
      <c r="B469" s="7" t="s">
        <v>9</v>
      </c>
      <c r="C469" s="7" t="s">
        <v>21</v>
      </c>
      <c r="D469" s="8">
        <v>4040</v>
      </c>
    </row>
    <row r="470" spans="1:4" x14ac:dyDescent="0.3">
      <c r="A470" s="6" t="s">
        <v>50</v>
      </c>
      <c r="B470" s="7" t="s">
        <v>9</v>
      </c>
      <c r="C470" s="7" t="s">
        <v>13</v>
      </c>
      <c r="D470" s="8">
        <v>4360</v>
      </c>
    </row>
    <row r="471" spans="1:4" x14ac:dyDescent="0.3">
      <c r="A471" s="6" t="s">
        <v>50</v>
      </c>
      <c r="B471" s="7" t="s">
        <v>9</v>
      </c>
      <c r="C471" s="7" t="s">
        <v>10</v>
      </c>
      <c r="D471" s="8">
        <v>1230</v>
      </c>
    </row>
    <row r="472" spans="1:4" x14ac:dyDescent="0.3">
      <c r="A472" s="6" t="s">
        <v>50</v>
      </c>
      <c r="B472" s="7" t="s">
        <v>17</v>
      </c>
      <c r="C472" s="7" t="s">
        <v>24</v>
      </c>
      <c r="D472" s="8">
        <v>9310</v>
      </c>
    </row>
    <row r="473" spans="1:4" x14ac:dyDescent="0.3">
      <c r="A473" s="6" t="s">
        <v>50</v>
      </c>
      <c r="B473" s="7" t="s">
        <v>17</v>
      </c>
      <c r="C473" s="7" t="s">
        <v>18</v>
      </c>
      <c r="D473" s="8">
        <v>2220</v>
      </c>
    </row>
    <row r="474" spans="1:4" x14ac:dyDescent="0.3">
      <c r="A474" s="6" t="s">
        <v>50</v>
      </c>
      <c r="B474" s="7" t="s">
        <v>17</v>
      </c>
      <c r="C474" s="7" t="s">
        <v>21</v>
      </c>
      <c r="D474" s="8">
        <v>1780</v>
      </c>
    </row>
    <row r="475" spans="1:4" x14ac:dyDescent="0.3">
      <c r="A475" s="6" t="s">
        <v>50</v>
      </c>
      <c r="B475" s="7" t="s">
        <v>17</v>
      </c>
      <c r="C475" s="7" t="s">
        <v>13</v>
      </c>
      <c r="D475" s="8">
        <v>4630</v>
      </c>
    </row>
    <row r="476" spans="1:4" x14ac:dyDescent="0.3">
      <c r="A476" s="6" t="s">
        <v>50</v>
      </c>
      <c r="B476" s="7" t="s">
        <v>17</v>
      </c>
      <c r="C476" s="7" t="s">
        <v>10</v>
      </c>
      <c r="D476" s="8">
        <v>1790</v>
      </c>
    </row>
    <row r="477" spans="1:4" x14ac:dyDescent="0.3">
      <c r="A477" s="6" t="s">
        <v>50</v>
      </c>
      <c r="B477" s="7" t="s">
        <v>15</v>
      </c>
      <c r="C477" s="7" t="s">
        <v>24</v>
      </c>
      <c r="D477" s="8">
        <v>5580</v>
      </c>
    </row>
    <row r="478" spans="1:4" x14ac:dyDescent="0.3">
      <c r="A478" s="6" t="s">
        <v>50</v>
      </c>
      <c r="B478" s="7" t="s">
        <v>15</v>
      </c>
      <c r="C478" s="7" t="s">
        <v>18</v>
      </c>
      <c r="D478" s="8">
        <v>1590</v>
      </c>
    </row>
    <row r="479" spans="1:4" x14ac:dyDescent="0.3">
      <c r="A479" s="6" t="s">
        <v>50</v>
      </c>
      <c r="B479" s="7" t="s">
        <v>15</v>
      </c>
      <c r="C479" s="7" t="s">
        <v>21</v>
      </c>
      <c r="D479" s="8">
        <v>3430</v>
      </c>
    </row>
    <row r="480" spans="1:4" x14ac:dyDescent="0.3">
      <c r="A480" s="6" t="s">
        <v>50</v>
      </c>
      <c r="B480" s="7" t="s">
        <v>15</v>
      </c>
      <c r="C480" s="7" t="s">
        <v>13</v>
      </c>
      <c r="D480" s="8">
        <v>4890</v>
      </c>
    </row>
    <row r="481" spans="1:4" x14ac:dyDescent="0.3">
      <c r="A481" s="6" t="s">
        <v>50</v>
      </c>
      <c r="B481" s="7" t="s">
        <v>15</v>
      </c>
      <c r="C481" s="7" t="s">
        <v>10</v>
      </c>
      <c r="D481" s="8">
        <v>1500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04A1-ED98-4407-A69F-7C585E2D4BFC}">
  <dimension ref="A1:G25"/>
  <sheetViews>
    <sheetView workbookViewId="0">
      <selection activeCell="C5" sqref="C5"/>
    </sheetView>
  </sheetViews>
  <sheetFormatPr defaultRowHeight="14.4" x14ac:dyDescent="0.3"/>
  <sheetData>
    <row r="1" spans="1:7" x14ac:dyDescent="0.3">
      <c r="A1" t="s">
        <v>51</v>
      </c>
    </row>
    <row r="3" spans="1:7" x14ac:dyDescent="0.3">
      <c r="A3" t="s">
        <v>2</v>
      </c>
      <c r="B3" t="s">
        <v>3</v>
      </c>
      <c r="C3" t="s">
        <v>52</v>
      </c>
      <c r="D3" t="s">
        <v>38</v>
      </c>
      <c r="E3" t="s">
        <v>53</v>
      </c>
      <c r="F3" t="s">
        <v>54</v>
      </c>
      <c r="G3" t="s">
        <v>55</v>
      </c>
    </row>
    <row r="4" spans="1:7" x14ac:dyDescent="0.3">
      <c r="A4" t="s">
        <v>12</v>
      </c>
      <c r="B4" t="s">
        <v>24</v>
      </c>
      <c r="C4">
        <f>SUMIFS('Sales Transactions'!$H$2:$H$651,'Sales Transactions'!$C$2:$C$651,A4,'Sales Transactions'!$D$2:$D$651,B4)</f>
        <v>131570.99000000002</v>
      </c>
      <c r="D4">
        <f>SUMIFS('Sales Targets'!$D$2:$D$481,'Sales Targets'!$B$2:$B$481,A4,'Sales Targets'!$C$2:$C$481,B4)</f>
        <v>139540</v>
      </c>
      <c r="E4">
        <f>C4-D4</f>
        <v>-7969.0099999999802</v>
      </c>
      <c r="F4">
        <f>IF(D4=0,0,E4/D4)</f>
        <v>-5.7109144331374373E-2</v>
      </c>
      <c r="G4" t="str">
        <f>IF(C4&gt;=D4,"Favorable","Unfavorable")</f>
        <v>Unfavorable</v>
      </c>
    </row>
    <row r="5" spans="1:7" x14ac:dyDescent="0.3">
      <c r="A5" t="s">
        <v>12</v>
      </c>
      <c r="B5" t="s">
        <v>18</v>
      </c>
      <c r="C5">
        <f>SUMIFS('Sales Transactions'!$H$2:$H$651,'Sales Transactions'!$C$2:$C$651,A5,'Sales Transactions'!$D$2:$D$651,B5)</f>
        <v>32216.990000000005</v>
      </c>
      <c r="D5">
        <f>SUMIFS('Sales Targets'!$D$2:$D$481,'Sales Targets'!$B$2:$B$481,A5,'Sales Targets'!$C$2:$C$481,B5)</f>
        <v>35810</v>
      </c>
      <c r="E5">
        <f t="shared" ref="E5:E23" si="0">C5-D5</f>
        <v>-3593.0099999999948</v>
      </c>
      <c r="F5">
        <f t="shared" ref="F5:F23" si="1">IF(D5=0,0,E5/D5)</f>
        <v>-0.10033538117844162</v>
      </c>
      <c r="G5" t="str">
        <f t="shared" ref="G5:G23" si="2">IF(C5&gt;=D5,"Favorable","Unfavorable")</f>
        <v>Unfavorable</v>
      </c>
    </row>
    <row r="6" spans="1:7" x14ac:dyDescent="0.3">
      <c r="A6" t="s">
        <v>12</v>
      </c>
      <c r="B6" t="s">
        <v>21</v>
      </c>
      <c r="C6">
        <f>SUMIFS('Sales Transactions'!$H$2:$H$651,'Sales Transactions'!$C$2:$C$651,A6,'Sales Transactions'!$D$2:$D$651,B6)</f>
        <v>76463.150000000023</v>
      </c>
      <c r="D6">
        <f>SUMIFS('Sales Targets'!$D$2:$D$481,'Sales Targets'!$B$2:$B$481,A6,'Sales Targets'!$C$2:$C$481,B6)</f>
        <v>98260</v>
      </c>
      <c r="E6">
        <f t="shared" si="0"/>
        <v>-21796.849999999977</v>
      </c>
      <c r="F6">
        <f t="shared" si="1"/>
        <v>-0.22182831263993463</v>
      </c>
      <c r="G6" t="str">
        <f t="shared" si="2"/>
        <v>Unfavorable</v>
      </c>
    </row>
    <row r="7" spans="1:7" x14ac:dyDescent="0.3">
      <c r="A7" t="s">
        <v>12</v>
      </c>
      <c r="B7" t="s">
        <v>13</v>
      </c>
      <c r="C7">
        <f>SUMIFS('Sales Transactions'!$H$2:$H$651,'Sales Transactions'!$C$2:$C$651,A7,'Sales Transactions'!$D$2:$D$651,B7)</f>
        <v>85928.239999999991</v>
      </c>
      <c r="D7">
        <f>SUMIFS('Sales Targets'!$D$2:$D$481,'Sales Targets'!$B$2:$B$481,A7,'Sales Targets'!$C$2:$C$481,B7)</f>
        <v>91670</v>
      </c>
      <c r="E7">
        <f t="shared" si="0"/>
        <v>-5741.7600000000093</v>
      </c>
      <c r="F7">
        <f t="shared" si="1"/>
        <v>-6.2635104178029991E-2</v>
      </c>
      <c r="G7" t="str">
        <f t="shared" si="2"/>
        <v>Unfavorable</v>
      </c>
    </row>
    <row r="8" spans="1:7" x14ac:dyDescent="0.3">
      <c r="A8" t="s">
        <v>12</v>
      </c>
      <c r="B8" t="s">
        <v>10</v>
      </c>
      <c r="C8">
        <f>SUMIFS('Sales Transactions'!$H$2:$H$651,'Sales Transactions'!$C$2:$C$651,A8,'Sales Transactions'!$D$2:$D$651,B8)</f>
        <v>13633.65</v>
      </c>
      <c r="D8">
        <f>SUMIFS('Sales Targets'!$D$2:$D$481,'Sales Targets'!$B$2:$B$481,A8,'Sales Targets'!$C$2:$C$481,B8)</f>
        <v>14830</v>
      </c>
      <c r="E8">
        <f t="shared" si="0"/>
        <v>-1196.3500000000004</v>
      </c>
      <c r="F8">
        <f t="shared" si="1"/>
        <v>-8.0670937289278516E-2</v>
      </c>
      <c r="G8" t="str">
        <f t="shared" si="2"/>
        <v>Unfavorable</v>
      </c>
    </row>
    <row r="9" spans="1:7" x14ac:dyDescent="0.3">
      <c r="A9" t="s">
        <v>9</v>
      </c>
      <c r="B9" t="s">
        <v>24</v>
      </c>
      <c r="C9">
        <f>SUMIFS('Sales Transactions'!$H$2:$H$651,'Sales Transactions'!$C$2:$C$651,A9,'Sales Transactions'!$D$2:$D$651,B9)</f>
        <v>174600.37000000002</v>
      </c>
      <c r="D9">
        <f>SUMIFS('Sales Targets'!$D$2:$D$481,'Sales Targets'!$B$2:$B$481,A9,'Sales Targets'!$C$2:$C$481,B9)</f>
        <v>196390</v>
      </c>
      <c r="E9">
        <f t="shared" si="0"/>
        <v>-21789.629999999976</v>
      </c>
      <c r="F9">
        <f t="shared" si="1"/>
        <v>-0.11095081215947847</v>
      </c>
      <c r="G9" t="str">
        <f t="shared" si="2"/>
        <v>Unfavorable</v>
      </c>
    </row>
    <row r="10" spans="1:7" x14ac:dyDescent="0.3">
      <c r="A10" t="s">
        <v>9</v>
      </c>
      <c r="B10" t="s">
        <v>18</v>
      </c>
      <c r="C10">
        <f>SUMIFS('Sales Transactions'!$H$2:$H$651,'Sales Transactions'!$C$2:$C$651,A10,'Sales Transactions'!$D$2:$D$651,B10)</f>
        <v>37440.229999999996</v>
      </c>
      <c r="D10">
        <f>SUMIFS('Sales Targets'!$D$2:$D$481,'Sales Targets'!$B$2:$B$481,A10,'Sales Targets'!$C$2:$C$481,B10)</f>
        <v>34940</v>
      </c>
      <c r="E10">
        <f t="shared" si="0"/>
        <v>2500.2299999999959</v>
      </c>
      <c r="F10">
        <f t="shared" si="1"/>
        <v>7.1557813394390268E-2</v>
      </c>
      <c r="G10" t="str">
        <f t="shared" si="2"/>
        <v>Favorable</v>
      </c>
    </row>
    <row r="11" spans="1:7" x14ac:dyDescent="0.3">
      <c r="A11" t="s">
        <v>9</v>
      </c>
      <c r="B11" t="s">
        <v>21</v>
      </c>
      <c r="C11">
        <f>SUMIFS('Sales Transactions'!$H$2:$H$651,'Sales Transactions'!$C$2:$C$651,A11,'Sales Transactions'!$D$2:$D$651,B11)</f>
        <v>68501.410000000018</v>
      </c>
      <c r="D11">
        <f>SUMIFS('Sales Targets'!$D$2:$D$481,'Sales Targets'!$B$2:$B$481,A11,'Sales Targets'!$C$2:$C$481,B11)</f>
        <v>74600</v>
      </c>
      <c r="E11">
        <f t="shared" si="0"/>
        <v>-6098.589999999982</v>
      </c>
      <c r="F11">
        <f t="shared" si="1"/>
        <v>-8.1750536193029244E-2</v>
      </c>
      <c r="G11" t="str">
        <f t="shared" si="2"/>
        <v>Unfavorable</v>
      </c>
    </row>
    <row r="12" spans="1:7" x14ac:dyDescent="0.3">
      <c r="A12" t="s">
        <v>9</v>
      </c>
      <c r="B12" t="s">
        <v>13</v>
      </c>
      <c r="C12">
        <f>SUMIFS('Sales Transactions'!$H$2:$H$651,'Sales Transactions'!$C$2:$C$651,A12,'Sales Transactions'!$D$2:$D$651,B12)</f>
        <v>70357.329999999987</v>
      </c>
      <c r="D12">
        <f>SUMIFS('Sales Targets'!$D$2:$D$481,'Sales Targets'!$B$2:$B$481,A12,'Sales Targets'!$C$2:$C$481,B12)</f>
        <v>80580</v>
      </c>
      <c r="E12">
        <f t="shared" si="0"/>
        <v>-10222.670000000013</v>
      </c>
      <c r="F12">
        <f t="shared" si="1"/>
        <v>-0.12686361379995051</v>
      </c>
      <c r="G12" t="str">
        <f t="shared" si="2"/>
        <v>Unfavorable</v>
      </c>
    </row>
    <row r="13" spans="1:7" x14ac:dyDescent="0.3">
      <c r="A13" t="s">
        <v>9</v>
      </c>
      <c r="B13" t="s">
        <v>10</v>
      </c>
      <c r="C13">
        <f>SUMIFS('Sales Transactions'!$H$2:$H$651,'Sales Transactions'!$C$2:$C$651,A13,'Sales Transactions'!$D$2:$D$651,B13)</f>
        <v>18556.870000000003</v>
      </c>
      <c r="D13">
        <f>SUMIFS('Sales Targets'!$D$2:$D$481,'Sales Targets'!$B$2:$B$481,A13,'Sales Targets'!$C$2:$C$481,B13)</f>
        <v>22720</v>
      </c>
      <c r="E13">
        <f t="shared" si="0"/>
        <v>-4163.1299999999974</v>
      </c>
      <c r="F13">
        <f t="shared" si="1"/>
        <v>-0.18323635563380269</v>
      </c>
      <c r="G13" t="str">
        <f t="shared" si="2"/>
        <v>Unfavorable</v>
      </c>
    </row>
    <row r="14" spans="1:7" x14ac:dyDescent="0.3">
      <c r="A14" t="s">
        <v>17</v>
      </c>
      <c r="B14" t="s">
        <v>24</v>
      </c>
      <c r="C14">
        <f>SUMIFS('Sales Transactions'!$H$2:$H$651,'Sales Transactions'!$C$2:$C$651,A14,'Sales Transactions'!$D$2:$D$651,B14)</f>
        <v>193150.27</v>
      </c>
      <c r="D14">
        <f>SUMIFS('Sales Targets'!$D$2:$D$481,'Sales Targets'!$B$2:$B$481,A14,'Sales Targets'!$C$2:$C$481,B14)</f>
        <v>171940</v>
      </c>
      <c r="E14">
        <f t="shared" si="0"/>
        <v>21210.26999999999</v>
      </c>
      <c r="F14">
        <f t="shared" si="1"/>
        <v>0.12335855530999179</v>
      </c>
      <c r="G14" t="str">
        <f t="shared" si="2"/>
        <v>Favorable</v>
      </c>
    </row>
    <row r="15" spans="1:7" x14ac:dyDescent="0.3">
      <c r="A15" t="s">
        <v>17</v>
      </c>
      <c r="B15" t="s">
        <v>18</v>
      </c>
      <c r="C15">
        <f>SUMIFS('Sales Transactions'!$H$2:$H$651,'Sales Transactions'!$C$2:$C$651,A15,'Sales Transactions'!$D$2:$D$651,B15)</f>
        <v>41354.110000000015</v>
      </c>
      <c r="D15">
        <f>SUMIFS('Sales Targets'!$D$2:$D$481,'Sales Targets'!$B$2:$B$481,A15,'Sales Targets'!$C$2:$C$481,B15)</f>
        <v>40950</v>
      </c>
      <c r="E15">
        <f t="shared" si="0"/>
        <v>404.11000000001513</v>
      </c>
      <c r="F15">
        <f t="shared" si="1"/>
        <v>9.8683760683764381E-3</v>
      </c>
      <c r="G15" t="str">
        <f t="shared" si="2"/>
        <v>Favorable</v>
      </c>
    </row>
    <row r="16" spans="1:7" x14ac:dyDescent="0.3">
      <c r="A16" t="s">
        <v>17</v>
      </c>
      <c r="B16" t="s">
        <v>21</v>
      </c>
      <c r="C16">
        <f>SUMIFS('Sales Transactions'!$H$2:$H$651,'Sales Transactions'!$C$2:$C$651,A16,'Sales Transactions'!$D$2:$D$651,B16)</f>
        <v>37061.29</v>
      </c>
      <c r="D16">
        <f>SUMIFS('Sales Targets'!$D$2:$D$481,'Sales Targets'!$B$2:$B$481,A16,'Sales Targets'!$C$2:$C$481,B16)</f>
        <v>32940</v>
      </c>
      <c r="E16">
        <f t="shared" si="0"/>
        <v>4121.2900000000009</v>
      </c>
      <c r="F16">
        <f t="shared" si="1"/>
        <v>0.12511505768063147</v>
      </c>
      <c r="G16" t="str">
        <f t="shared" si="2"/>
        <v>Favorable</v>
      </c>
    </row>
    <row r="17" spans="1:7" x14ac:dyDescent="0.3">
      <c r="A17" t="s">
        <v>17</v>
      </c>
      <c r="B17" t="s">
        <v>13</v>
      </c>
      <c r="C17">
        <f>SUMIFS('Sales Transactions'!$H$2:$H$651,'Sales Transactions'!$C$2:$C$651,A17,'Sales Transactions'!$D$2:$D$651,B17)</f>
        <v>69522.2</v>
      </c>
      <c r="D17">
        <f>SUMIFS('Sales Targets'!$D$2:$D$481,'Sales Targets'!$B$2:$B$481,A17,'Sales Targets'!$C$2:$C$481,B17)</f>
        <v>85530</v>
      </c>
      <c r="E17">
        <f t="shared" si="0"/>
        <v>-16007.800000000003</v>
      </c>
      <c r="F17">
        <f t="shared" si="1"/>
        <v>-0.18716006079738107</v>
      </c>
      <c r="G17" t="str">
        <f t="shared" si="2"/>
        <v>Unfavorable</v>
      </c>
    </row>
    <row r="18" spans="1:7" x14ac:dyDescent="0.3">
      <c r="A18" t="s">
        <v>17</v>
      </c>
      <c r="B18" t="s">
        <v>10</v>
      </c>
      <c r="C18">
        <f>SUMIFS('Sales Transactions'!$H$2:$H$651,'Sales Transactions'!$C$2:$C$651,A18,'Sales Transactions'!$D$2:$D$651,B18)</f>
        <v>28081.850000000002</v>
      </c>
      <c r="D18">
        <f>SUMIFS('Sales Targets'!$D$2:$D$481,'Sales Targets'!$B$2:$B$481,A18,'Sales Targets'!$C$2:$C$481,B18)</f>
        <v>33000</v>
      </c>
      <c r="E18">
        <f t="shared" si="0"/>
        <v>-4918.1499999999978</v>
      </c>
      <c r="F18">
        <f t="shared" si="1"/>
        <v>-0.14903484848484841</v>
      </c>
      <c r="G18" t="str">
        <f t="shared" si="2"/>
        <v>Unfavorable</v>
      </c>
    </row>
    <row r="19" spans="1:7" x14ac:dyDescent="0.3">
      <c r="A19" t="s">
        <v>15</v>
      </c>
      <c r="B19" t="s">
        <v>24</v>
      </c>
      <c r="C19">
        <f>SUMIFS('Sales Transactions'!$H$2:$H$651,'Sales Transactions'!$C$2:$C$651,A19,'Sales Transactions'!$D$2:$D$651,B19)</f>
        <v>119055.06999999998</v>
      </c>
      <c r="D19">
        <f>SUMIFS('Sales Targets'!$D$2:$D$481,'Sales Targets'!$B$2:$B$481,A19,'Sales Targets'!$C$2:$C$481,B19)</f>
        <v>103020</v>
      </c>
      <c r="E19">
        <f t="shared" si="0"/>
        <v>16035.069999999978</v>
      </c>
      <c r="F19">
        <f t="shared" si="1"/>
        <v>0.15565006794797107</v>
      </c>
      <c r="G19" t="str">
        <f t="shared" si="2"/>
        <v>Favorable</v>
      </c>
    </row>
    <row r="20" spans="1:7" x14ac:dyDescent="0.3">
      <c r="A20" t="s">
        <v>15</v>
      </c>
      <c r="B20" t="s">
        <v>18</v>
      </c>
      <c r="C20">
        <f>SUMIFS('Sales Transactions'!$H$2:$H$651,'Sales Transactions'!$C$2:$C$651,A20,'Sales Transactions'!$D$2:$D$651,B20)</f>
        <v>22406.269999999997</v>
      </c>
      <c r="D20">
        <f>SUMIFS('Sales Targets'!$D$2:$D$481,'Sales Targets'!$B$2:$B$481,A20,'Sales Targets'!$C$2:$C$481,B20)</f>
        <v>29390</v>
      </c>
      <c r="E20">
        <f t="shared" si="0"/>
        <v>-6983.7300000000032</v>
      </c>
      <c r="F20">
        <f t="shared" si="1"/>
        <v>-0.23762266076896915</v>
      </c>
      <c r="G20" t="str">
        <f t="shared" si="2"/>
        <v>Unfavorable</v>
      </c>
    </row>
    <row r="21" spans="1:7" x14ac:dyDescent="0.3">
      <c r="A21" t="s">
        <v>15</v>
      </c>
      <c r="B21" t="s">
        <v>21</v>
      </c>
      <c r="C21">
        <f>SUMIFS('Sales Transactions'!$H$2:$H$651,'Sales Transactions'!$C$2:$C$651,A21,'Sales Transactions'!$D$2:$D$651,B21)</f>
        <v>48634.549999999988</v>
      </c>
      <c r="D21">
        <f>SUMIFS('Sales Targets'!$D$2:$D$481,'Sales Targets'!$B$2:$B$481,A21,'Sales Targets'!$C$2:$C$481,B21)</f>
        <v>63440</v>
      </c>
      <c r="E21">
        <f t="shared" si="0"/>
        <v>-14805.450000000012</v>
      </c>
      <c r="F21">
        <f t="shared" si="1"/>
        <v>-0.23337720680958404</v>
      </c>
      <c r="G21" t="str">
        <f t="shared" si="2"/>
        <v>Unfavorable</v>
      </c>
    </row>
    <row r="22" spans="1:7" x14ac:dyDescent="0.3">
      <c r="A22" t="s">
        <v>15</v>
      </c>
      <c r="B22" t="s">
        <v>13</v>
      </c>
      <c r="C22">
        <f>SUMIFS('Sales Transactions'!$H$2:$H$651,'Sales Transactions'!$C$2:$C$651,A22,'Sales Transactions'!$D$2:$D$651,B22)</f>
        <v>78053.31</v>
      </c>
      <c r="D22">
        <f>SUMIFS('Sales Targets'!$D$2:$D$481,'Sales Targets'!$B$2:$B$481,A22,'Sales Targets'!$C$2:$C$481,B22)</f>
        <v>90290</v>
      </c>
      <c r="E22">
        <f t="shared" si="0"/>
        <v>-12236.690000000002</v>
      </c>
      <c r="F22">
        <f t="shared" si="1"/>
        <v>-0.13552652563960574</v>
      </c>
      <c r="G22" t="str">
        <f t="shared" si="2"/>
        <v>Unfavorable</v>
      </c>
    </row>
    <row r="23" spans="1:7" x14ac:dyDescent="0.3">
      <c r="A23" t="s">
        <v>15</v>
      </c>
      <c r="B23" t="s">
        <v>10</v>
      </c>
      <c r="C23">
        <f>SUMIFS('Sales Transactions'!$H$2:$H$651,'Sales Transactions'!$C$2:$C$651,A23,'Sales Transactions'!$D$2:$D$651,B23)</f>
        <v>24368</v>
      </c>
      <c r="D23">
        <f>SUMIFS('Sales Targets'!$D$2:$D$481,'Sales Targets'!$B$2:$B$481,A23,'Sales Targets'!$C$2:$C$481,B23)</f>
        <v>27740</v>
      </c>
      <c r="E23">
        <f t="shared" si="0"/>
        <v>-3372</v>
      </c>
      <c r="F23">
        <f t="shared" si="1"/>
        <v>-0.12155731795241528</v>
      </c>
      <c r="G23" t="str">
        <f t="shared" si="2"/>
        <v>Unfavorable</v>
      </c>
    </row>
    <row r="25" spans="1:7" x14ac:dyDescent="0.3">
      <c r="A25" t="s">
        <v>56</v>
      </c>
      <c r="C25">
        <f>SUM(C4:C23)</f>
        <v>1370956.1500000004</v>
      </c>
      <c r="D25">
        <f>SUM(D4:D23)</f>
        <v>1467580</v>
      </c>
      <c r="E25">
        <f>C25-D25</f>
        <v>-96623.849999999627</v>
      </c>
      <c r="F25">
        <f>IF(D25=0,0,E25/D25)</f>
        <v>-6.5838898049850519E-2</v>
      </c>
    </row>
  </sheetData>
  <conditionalFormatting sqref="G4:G23">
    <cfRule type="cellIs" dxfId="1" priority="1" operator="equal">
      <formula>"Unfavorable"</formula>
    </cfRule>
    <cfRule type="cellIs" dxfId="0" priority="2" operator="equal">
      <formula>"Favorable"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4603F-FA78-48D9-BA83-1C792C2B6C69}">
  <dimension ref="A1:C42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57</v>
      </c>
    </row>
    <row r="2" spans="1:2" x14ac:dyDescent="0.3">
      <c r="A2" t="s">
        <v>58</v>
      </c>
      <c r="B2" t="s">
        <v>9</v>
      </c>
    </row>
    <row r="3" spans="1:2" x14ac:dyDescent="0.3">
      <c r="A3" t="s">
        <v>59</v>
      </c>
      <c r="B3" t="s">
        <v>10</v>
      </c>
    </row>
    <row r="5" spans="1:2" x14ac:dyDescent="0.3">
      <c r="A5" t="s">
        <v>52</v>
      </c>
      <c r="B5">
        <f>SUMIFS('Performance Analysis'!$C$4:$C$23,'Performance Analysis'!$A$4:$A$23,B2,'Performance Analysis'!$B$4:$B$23,B3)</f>
        <v>18556.870000000003</v>
      </c>
    </row>
    <row r="6" spans="1:2" x14ac:dyDescent="0.3">
      <c r="A6" t="s">
        <v>60</v>
      </c>
      <c r="B6">
        <f>SUMIFS('Performance Analysis'!$D$4:$D$23,'Performance Analysis'!$A$4:$A$23,B2,'Performance Analysis'!$B$4:$B$23,B3)</f>
        <v>22720</v>
      </c>
    </row>
    <row r="7" spans="1:2" x14ac:dyDescent="0.3">
      <c r="A7" t="s">
        <v>61</v>
      </c>
      <c r="B7">
        <f>B5-B6</f>
        <v>-4163.1299999999974</v>
      </c>
    </row>
    <row r="8" spans="1:2" x14ac:dyDescent="0.3">
      <c r="A8" t="s">
        <v>62</v>
      </c>
      <c r="B8">
        <f>IF(B6=0,0,B7/B6)</f>
        <v>-0.18323635563380269</v>
      </c>
    </row>
    <row r="11" spans="1:2" x14ac:dyDescent="0.3">
      <c r="A11" t="s">
        <v>24</v>
      </c>
      <c r="B11">
        <f>SUMIFS('Performance Analysis'!$E$4:$E$23, 'Performance Analysis'!$A$4:$A$23, B2, 'Performance Analysis'!$B$4:$B$23, "Electronics")</f>
        <v>-21789.629999999976</v>
      </c>
    </row>
    <row r="12" spans="1:2" x14ac:dyDescent="0.3">
      <c r="A12" t="s">
        <v>18</v>
      </c>
      <c r="B12">
        <f>SUMIFS('Performance Analysis'!$E$4:$E$23, 'Performance Analysis'!$A$4:$A$23, B2, 'Performance Analysis'!$B$4:$B$23, "Apparel")</f>
        <v>2500.2299999999959</v>
      </c>
    </row>
    <row r="13" spans="1:2" x14ac:dyDescent="0.3">
      <c r="A13" t="s">
        <v>21</v>
      </c>
      <c r="B13">
        <f>SUMIFS('Performance Analysis'!$E$4:$E$23, 'Performance Analysis'!$A$4:$A$23, B2, 'Performance Analysis'!$B$4:$B$23, "Home &amp; Garden")</f>
        <v>-6098.589999999982</v>
      </c>
    </row>
    <row r="14" spans="1:2" x14ac:dyDescent="0.3">
      <c r="A14" t="s">
        <v>13</v>
      </c>
      <c r="B14">
        <f>SUMIFS('Performance Analysis'!$E$4:$E$23, 'Performance Analysis'!$A$4:$A$23, B2, 'Performance Analysis'!$B$4:$B$23, "Sporting Goods")</f>
        <v>-10222.670000000013</v>
      </c>
    </row>
    <row r="15" spans="1:2" x14ac:dyDescent="0.3">
      <c r="A15" t="s">
        <v>10</v>
      </c>
      <c r="B15">
        <f>SUMIFS('Performance Analysis'!$E$4:$E$23, 'Performance Analysis'!$A$4:$A$23, B2, 'Performance Analysis'!$B$4:$B$23, "Toys &amp; Games")</f>
        <v>-4163.1299999999974</v>
      </c>
    </row>
    <row r="18" spans="1:3" x14ac:dyDescent="0.3">
      <c r="A18" t="s">
        <v>37</v>
      </c>
      <c r="B18" t="s">
        <v>52</v>
      </c>
      <c r="C18" t="s">
        <v>38</v>
      </c>
    </row>
    <row r="19" spans="1:3" ht="15" x14ac:dyDescent="0.35">
      <c r="A19" s="9">
        <v>45292</v>
      </c>
      <c r="B19">
        <f>SUMIFS('Sales Transactions'!$H$2:$H$651, 'Sales Transactions'!$C$2:$C$651, $B$2, 'Sales Transactions'!$D$2:$D$651, $B$3, 'Sales Transactions'!$B$2:$B$651, "&gt;="&amp;A19, 'Sales Transactions'!$B$2:$B$651, "&lt;"&amp;A20)</f>
        <v>2298</v>
      </c>
      <c r="C19" s="11">
        <f>SUMIFS('Sales Targets'!$D$2:$D$481, 'Sales Targets'!$B$2:$B$481, $B$2, 'Sales Targets'!$C$2:$C$481, $B$3, 'Sales Targets'!$A$2:$A$481, A19)</f>
        <v>750</v>
      </c>
    </row>
    <row r="20" spans="1:3" ht="15" x14ac:dyDescent="0.35">
      <c r="A20" s="10">
        <f>EDATE(A19, 1)</f>
        <v>45323</v>
      </c>
      <c r="B20">
        <f>SUMIFS('Sales Transactions'!$H$2:$H$651, 'Sales Transactions'!$C$2:$C$651, $B$2, 'Sales Transactions'!$D$2:$D$651, $B$3, 'Sales Transactions'!$B$2:$B$651, "&gt;="&amp;A20, 'Sales Transactions'!$B$2:$B$651, "&lt;"&amp;A21)</f>
        <v>1387.24</v>
      </c>
      <c r="C20" s="11">
        <f>SUMIFS('Sales Targets'!$D$2:$D$481, 'Sales Targets'!$B$2:$B$481, $B$2, 'Sales Targets'!$C$2:$C$481, $B$3, 'Sales Targets'!$A$2:$A$481, A20)</f>
        <v>760</v>
      </c>
    </row>
    <row r="21" spans="1:3" ht="15" x14ac:dyDescent="0.35">
      <c r="A21" s="10">
        <f t="shared" ref="A21:A42" si="0">EDATE(A20, 1)</f>
        <v>45352</v>
      </c>
      <c r="B21">
        <f>SUMIFS('Sales Transactions'!$H$2:$H$651, 'Sales Transactions'!$C$2:$C$651, $B$2, 'Sales Transactions'!$D$2:$D$651, $B$3, 'Sales Transactions'!$B$2:$B$651, "&gt;="&amp;A21, 'Sales Transactions'!$B$2:$B$651, "&lt;"&amp;A22)</f>
        <v>762.5</v>
      </c>
      <c r="C21" s="11">
        <f>SUMIFS('Sales Targets'!$D$2:$D$481, 'Sales Targets'!$B$2:$B$481, $B$2, 'Sales Targets'!$C$2:$C$481, $B$3, 'Sales Targets'!$A$2:$A$481, A21)</f>
        <v>850</v>
      </c>
    </row>
    <row r="22" spans="1:3" ht="15" x14ac:dyDescent="0.35">
      <c r="A22" s="10">
        <f t="shared" si="0"/>
        <v>45383</v>
      </c>
      <c r="B22">
        <f>SUMIFS('Sales Transactions'!$H$2:$H$651, 'Sales Transactions'!$C$2:$C$651, $B$2, 'Sales Transactions'!$D$2:$D$651, $B$3, 'Sales Transactions'!$B$2:$B$651, "&gt;="&amp;A22, 'Sales Transactions'!$B$2:$B$651, "&lt;"&amp;A23)</f>
        <v>99.210000000000008</v>
      </c>
      <c r="C22" s="11">
        <f>SUMIFS('Sales Targets'!$D$2:$D$481, 'Sales Targets'!$B$2:$B$481, $B$2, 'Sales Targets'!$C$2:$C$481, $B$3, 'Sales Targets'!$A$2:$A$481, A22)</f>
        <v>860</v>
      </c>
    </row>
    <row r="23" spans="1:3" ht="15" x14ac:dyDescent="0.35">
      <c r="A23" s="10">
        <f t="shared" si="0"/>
        <v>45413</v>
      </c>
      <c r="B23">
        <f>SUMIFS('Sales Transactions'!$H$2:$H$651, 'Sales Transactions'!$C$2:$C$651, $B$2, 'Sales Transactions'!$D$2:$D$651, $B$3, 'Sales Transactions'!$B$2:$B$651, "&gt;="&amp;A23, 'Sales Transactions'!$B$2:$B$651, "&lt;"&amp;A24)</f>
        <v>1208.0999999999999</v>
      </c>
      <c r="C23" s="11">
        <f>SUMIFS('Sales Targets'!$D$2:$D$481, 'Sales Targets'!$B$2:$B$481, $B$2, 'Sales Targets'!$C$2:$C$481, $B$3, 'Sales Targets'!$A$2:$A$481, A23)</f>
        <v>870</v>
      </c>
    </row>
    <row r="24" spans="1:3" ht="15" x14ac:dyDescent="0.35">
      <c r="A24" s="10">
        <f t="shared" si="0"/>
        <v>45444</v>
      </c>
      <c r="B24">
        <f>SUMIFS('Sales Transactions'!$H$2:$H$651, 'Sales Transactions'!$C$2:$C$651, $B$2, 'Sales Transactions'!$D$2:$D$651, $B$3, 'Sales Transactions'!$B$2:$B$651, "&gt;="&amp;A24, 'Sales Transactions'!$B$2:$B$651, "&lt;"&amp;A25)</f>
        <v>0</v>
      </c>
      <c r="C24" s="11">
        <f>SUMIFS('Sales Targets'!$D$2:$D$481, 'Sales Targets'!$B$2:$B$481, $B$2, 'Sales Targets'!$C$2:$C$481, $B$3, 'Sales Targets'!$A$2:$A$481, A24)</f>
        <v>870</v>
      </c>
    </row>
    <row r="25" spans="1:3" ht="15" x14ac:dyDescent="0.35">
      <c r="A25" s="10">
        <f t="shared" si="0"/>
        <v>45474</v>
      </c>
      <c r="B25">
        <f>SUMIFS('Sales Transactions'!$H$2:$H$651, 'Sales Transactions'!$C$2:$C$651, $B$2, 'Sales Transactions'!$D$2:$D$651, $B$3, 'Sales Transactions'!$B$2:$B$651, "&gt;="&amp;A25, 'Sales Transactions'!$B$2:$B$651, "&lt;"&amp;A26)</f>
        <v>0</v>
      </c>
      <c r="C25" s="11">
        <f>SUMIFS('Sales Targets'!$D$2:$D$481, 'Sales Targets'!$B$2:$B$481, $B$2, 'Sales Targets'!$C$2:$C$481, $B$3, 'Sales Targets'!$A$2:$A$481, A25)</f>
        <v>880</v>
      </c>
    </row>
    <row r="26" spans="1:3" ht="15" x14ac:dyDescent="0.35">
      <c r="A26" s="10">
        <f t="shared" si="0"/>
        <v>45505</v>
      </c>
      <c r="B26">
        <f>SUMIFS('Sales Transactions'!$H$2:$H$651, 'Sales Transactions'!$C$2:$C$651, $B$2, 'Sales Transactions'!$D$2:$D$651, $B$3, 'Sales Transactions'!$B$2:$B$651, "&gt;="&amp;A26, 'Sales Transactions'!$B$2:$B$651, "&lt;"&amp;A27)</f>
        <v>55.56</v>
      </c>
      <c r="C26" s="11">
        <f>SUMIFS('Sales Targets'!$D$2:$D$481, 'Sales Targets'!$B$2:$B$481, $B$2, 'Sales Targets'!$C$2:$C$481, $B$3, 'Sales Targets'!$A$2:$A$481, A26)</f>
        <v>890</v>
      </c>
    </row>
    <row r="27" spans="1:3" ht="15" x14ac:dyDescent="0.35">
      <c r="A27" s="10">
        <f t="shared" si="0"/>
        <v>45536</v>
      </c>
      <c r="B27">
        <f>SUMIFS('Sales Transactions'!$H$2:$H$651, 'Sales Transactions'!$C$2:$C$651, $B$2, 'Sales Transactions'!$D$2:$D$651, $B$3, 'Sales Transactions'!$B$2:$B$651, "&gt;="&amp;A27, 'Sales Transactions'!$B$2:$B$651, "&lt;"&amp;A28)</f>
        <v>283.92</v>
      </c>
      <c r="C27" s="11">
        <f>SUMIFS('Sales Targets'!$D$2:$D$481, 'Sales Targets'!$B$2:$B$481, $B$2, 'Sales Targets'!$C$2:$C$481, $B$3, 'Sales Targets'!$A$2:$A$481, A27)</f>
        <v>900</v>
      </c>
    </row>
    <row r="28" spans="1:3" ht="15" x14ac:dyDescent="0.35">
      <c r="A28" s="10">
        <f t="shared" si="0"/>
        <v>45566</v>
      </c>
      <c r="B28">
        <f>SUMIFS('Sales Transactions'!$H$2:$H$651, 'Sales Transactions'!$C$2:$C$651, $B$2, 'Sales Transactions'!$D$2:$D$651, $B$3, 'Sales Transactions'!$B$2:$B$651, "&gt;="&amp;A28, 'Sales Transactions'!$B$2:$B$651, "&lt;"&amp;A29)</f>
        <v>122.44</v>
      </c>
      <c r="C28" s="11">
        <f>SUMIFS('Sales Targets'!$D$2:$D$481, 'Sales Targets'!$B$2:$B$481, $B$2, 'Sales Targets'!$C$2:$C$481, $B$3, 'Sales Targets'!$A$2:$A$481, A28)</f>
        <v>910</v>
      </c>
    </row>
    <row r="29" spans="1:3" ht="15" x14ac:dyDescent="0.35">
      <c r="A29" s="10">
        <f t="shared" si="0"/>
        <v>45597</v>
      </c>
      <c r="B29">
        <f>SUMIFS('Sales Transactions'!$H$2:$H$651, 'Sales Transactions'!$C$2:$C$651, $B$2, 'Sales Transactions'!$D$2:$D$651, $B$3, 'Sales Transactions'!$B$2:$B$651, "&gt;="&amp;A29, 'Sales Transactions'!$B$2:$B$651, "&lt;"&amp;A30)</f>
        <v>1309.3399999999999</v>
      </c>
      <c r="C29" s="11">
        <f>SUMIFS('Sales Targets'!$D$2:$D$481, 'Sales Targets'!$B$2:$B$481, $B$2, 'Sales Targets'!$C$2:$C$481, $B$3, 'Sales Targets'!$A$2:$A$481, A29)</f>
        <v>1100</v>
      </c>
    </row>
    <row r="30" spans="1:3" ht="15" x14ac:dyDescent="0.35">
      <c r="A30" s="10">
        <f t="shared" si="0"/>
        <v>45627</v>
      </c>
      <c r="B30">
        <f>SUMIFS('Sales Transactions'!$H$2:$H$651, 'Sales Transactions'!$C$2:$C$651, $B$2, 'Sales Transactions'!$D$2:$D$651, $B$3, 'Sales Transactions'!$B$2:$B$651, "&gt;="&amp;A30, 'Sales Transactions'!$B$2:$B$651, "&lt;"&amp;A31)</f>
        <v>0</v>
      </c>
      <c r="C30" s="11">
        <f>SUMIFS('Sales Targets'!$D$2:$D$481, 'Sales Targets'!$B$2:$B$481, $B$2, 'Sales Targets'!$C$2:$C$481, $B$3, 'Sales Targets'!$A$2:$A$481, A30)</f>
        <v>1110</v>
      </c>
    </row>
    <row r="31" spans="1:3" ht="15" x14ac:dyDescent="0.35">
      <c r="A31" s="10">
        <f t="shared" si="0"/>
        <v>45658</v>
      </c>
      <c r="B31">
        <f>SUMIFS('Sales Transactions'!$H$2:$H$651, 'Sales Transactions'!$C$2:$C$651, $B$2, 'Sales Transactions'!$D$2:$D$651, $B$3, 'Sales Transactions'!$B$2:$B$651, "&gt;="&amp;A31, 'Sales Transactions'!$B$2:$B$651, "&lt;"&amp;A32)</f>
        <v>0</v>
      </c>
      <c r="C31" s="11">
        <f>SUMIFS('Sales Targets'!$D$2:$D$481, 'Sales Targets'!$B$2:$B$481, $B$2, 'Sales Targets'!$C$2:$C$481, $B$3, 'Sales Targets'!$A$2:$A$481, A31)</f>
        <v>840</v>
      </c>
    </row>
    <row r="32" spans="1:3" ht="15" x14ac:dyDescent="0.35">
      <c r="A32" s="10">
        <f t="shared" si="0"/>
        <v>45689</v>
      </c>
      <c r="B32">
        <f>SUMIFS('Sales Transactions'!$H$2:$H$651, 'Sales Transactions'!$C$2:$C$651, $B$2, 'Sales Transactions'!$D$2:$D$651, $B$3, 'Sales Transactions'!$B$2:$B$651, "&gt;="&amp;A32, 'Sales Transactions'!$B$2:$B$651, "&lt;"&amp;A33)</f>
        <v>0</v>
      </c>
      <c r="C32" s="11">
        <f>SUMIFS('Sales Targets'!$D$2:$D$481, 'Sales Targets'!$B$2:$B$481, $B$2, 'Sales Targets'!$C$2:$C$481, $B$3, 'Sales Targets'!$A$2:$A$481, A32)</f>
        <v>850</v>
      </c>
    </row>
    <row r="33" spans="1:3" ht="15" x14ac:dyDescent="0.35">
      <c r="A33" s="10">
        <f t="shared" si="0"/>
        <v>45717</v>
      </c>
      <c r="B33">
        <f>SUMIFS('Sales Transactions'!$H$2:$H$651, 'Sales Transactions'!$C$2:$C$651, $B$2, 'Sales Transactions'!$D$2:$D$651, $B$3, 'Sales Transactions'!$B$2:$B$651, "&gt;="&amp;A33, 'Sales Transactions'!$B$2:$B$651, "&lt;"&amp;A34)</f>
        <v>1695.4899999999998</v>
      </c>
      <c r="C33" s="11">
        <f>SUMIFS('Sales Targets'!$D$2:$D$481, 'Sales Targets'!$B$2:$B$481, $B$2, 'Sales Targets'!$C$2:$C$481, $B$3, 'Sales Targets'!$A$2:$A$481, A33)</f>
        <v>950</v>
      </c>
    </row>
    <row r="34" spans="1:3" ht="15" x14ac:dyDescent="0.35">
      <c r="A34" s="10">
        <f t="shared" si="0"/>
        <v>45748</v>
      </c>
      <c r="B34">
        <f>SUMIFS('Sales Transactions'!$H$2:$H$651, 'Sales Transactions'!$C$2:$C$651, $B$2, 'Sales Transactions'!$D$2:$D$651, $B$3, 'Sales Transactions'!$B$2:$B$651, "&gt;="&amp;A34, 'Sales Transactions'!$B$2:$B$651, "&lt;"&amp;A35)</f>
        <v>0</v>
      </c>
      <c r="C34" s="11">
        <f>SUMIFS('Sales Targets'!$D$2:$D$481, 'Sales Targets'!$B$2:$B$481, $B$2, 'Sales Targets'!$C$2:$C$481, $B$3, 'Sales Targets'!$A$2:$A$481, A34)</f>
        <v>960</v>
      </c>
    </row>
    <row r="35" spans="1:3" ht="15" x14ac:dyDescent="0.35">
      <c r="A35" s="10">
        <f t="shared" si="0"/>
        <v>45778</v>
      </c>
      <c r="B35">
        <f>SUMIFS('Sales Transactions'!$H$2:$H$651, 'Sales Transactions'!$C$2:$C$651, $B$2, 'Sales Transactions'!$D$2:$D$651, $B$3, 'Sales Transactions'!$B$2:$B$651, "&gt;="&amp;A35, 'Sales Transactions'!$B$2:$B$651, "&lt;"&amp;A36)</f>
        <v>151.95000000000002</v>
      </c>
      <c r="C35" s="11">
        <f>SUMIFS('Sales Targets'!$D$2:$D$481, 'Sales Targets'!$B$2:$B$481, $B$2, 'Sales Targets'!$C$2:$C$481, $B$3, 'Sales Targets'!$A$2:$A$481, A35)</f>
        <v>970</v>
      </c>
    </row>
    <row r="36" spans="1:3" ht="15" x14ac:dyDescent="0.35">
      <c r="A36" s="10">
        <f t="shared" si="0"/>
        <v>45809</v>
      </c>
      <c r="B36">
        <f>SUMIFS('Sales Transactions'!$H$2:$H$651, 'Sales Transactions'!$C$2:$C$651, $B$2, 'Sales Transactions'!$D$2:$D$651, $B$3, 'Sales Transactions'!$B$2:$B$651, "&gt;="&amp;A36, 'Sales Transactions'!$B$2:$B$651, "&lt;"&amp;A37)</f>
        <v>646.12</v>
      </c>
      <c r="C36" s="11">
        <f>SUMIFS('Sales Targets'!$D$2:$D$481, 'Sales Targets'!$B$2:$B$481, $B$2, 'Sales Targets'!$C$2:$C$481, $B$3, 'Sales Targets'!$A$2:$A$481, A36)</f>
        <v>970</v>
      </c>
    </row>
    <row r="37" spans="1:3" ht="15" x14ac:dyDescent="0.35">
      <c r="A37" s="10">
        <f t="shared" si="0"/>
        <v>45839</v>
      </c>
      <c r="B37">
        <f>SUMIFS('Sales Transactions'!$H$2:$H$651, 'Sales Transactions'!$C$2:$C$651, $B$2, 'Sales Transactions'!$D$2:$D$651, $B$3, 'Sales Transactions'!$B$2:$B$651, "&gt;="&amp;A37, 'Sales Transactions'!$B$2:$B$651, "&lt;"&amp;A38)</f>
        <v>2423.12</v>
      </c>
      <c r="C37" s="11">
        <f>SUMIFS('Sales Targets'!$D$2:$D$481, 'Sales Targets'!$B$2:$B$481, $B$2, 'Sales Targets'!$C$2:$C$481, $B$3, 'Sales Targets'!$A$2:$A$481, A37)</f>
        <v>980</v>
      </c>
    </row>
    <row r="38" spans="1:3" ht="15" x14ac:dyDescent="0.35">
      <c r="A38" s="10">
        <f t="shared" si="0"/>
        <v>45870</v>
      </c>
      <c r="B38">
        <f>SUMIFS('Sales Transactions'!$H$2:$H$651, 'Sales Transactions'!$C$2:$C$651, $B$2, 'Sales Transactions'!$D$2:$D$651, $B$3, 'Sales Transactions'!$B$2:$B$651, "&gt;="&amp;A38, 'Sales Transactions'!$B$2:$B$651, "&lt;"&amp;A39)</f>
        <v>1543.04</v>
      </c>
      <c r="C38" s="11">
        <f>SUMIFS('Sales Targets'!$D$2:$D$481, 'Sales Targets'!$B$2:$B$481, $B$2, 'Sales Targets'!$C$2:$C$481, $B$3, 'Sales Targets'!$A$2:$A$481, A38)</f>
        <v>990</v>
      </c>
    </row>
    <row r="39" spans="1:3" ht="15" x14ac:dyDescent="0.35">
      <c r="A39" s="10">
        <f t="shared" si="0"/>
        <v>45901</v>
      </c>
      <c r="B39">
        <f>SUMIFS('Sales Transactions'!$H$2:$H$651, 'Sales Transactions'!$C$2:$C$651, $B$2, 'Sales Transactions'!$D$2:$D$651, $B$3, 'Sales Transactions'!$B$2:$B$651, "&gt;="&amp;A39, 'Sales Transactions'!$B$2:$B$651, "&lt;"&amp;A40)</f>
        <v>0</v>
      </c>
      <c r="C39" s="11">
        <f>SUMIFS('Sales Targets'!$D$2:$D$481, 'Sales Targets'!$B$2:$B$481, $B$2, 'Sales Targets'!$C$2:$C$481, $B$3, 'Sales Targets'!$A$2:$A$481, A39)</f>
        <v>1000</v>
      </c>
    </row>
    <row r="40" spans="1:3" ht="15" x14ac:dyDescent="0.35">
      <c r="A40" s="10">
        <f t="shared" si="0"/>
        <v>45931</v>
      </c>
      <c r="B40">
        <f>SUMIFS('Sales Transactions'!$H$2:$H$651, 'Sales Transactions'!$C$2:$C$651, $B$2, 'Sales Transactions'!$D$2:$D$651, $B$3, 'Sales Transactions'!$B$2:$B$651, "&gt;="&amp;A40, 'Sales Transactions'!$B$2:$B$651, "&lt;"&amp;A41)</f>
        <v>89.92</v>
      </c>
      <c r="C40" s="11">
        <f>SUMIFS('Sales Targets'!$D$2:$D$481, 'Sales Targets'!$B$2:$B$481, $B$2, 'Sales Targets'!$C$2:$C$481, $B$3, 'Sales Targets'!$A$2:$A$481, A40)</f>
        <v>1010</v>
      </c>
    </row>
    <row r="41" spans="1:3" ht="15" x14ac:dyDescent="0.35">
      <c r="A41" s="10">
        <f t="shared" si="0"/>
        <v>45962</v>
      </c>
      <c r="B41">
        <f>SUMIFS('Sales Transactions'!$H$2:$H$651, 'Sales Transactions'!$C$2:$C$651, $B$2, 'Sales Transactions'!$D$2:$D$651, $B$3, 'Sales Transactions'!$B$2:$B$651, "&gt;="&amp;A41, 'Sales Transactions'!$B$2:$B$651, "&lt;"&amp;A42)</f>
        <v>3099.48</v>
      </c>
      <c r="C41" s="11">
        <f>SUMIFS('Sales Targets'!$D$2:$D$481, 'Sales Targets'!$B$2:$B$481, $B$2, 'Sales Targets'!$C$2:$C$481, $B$3, 'Sales Targets'!$A$2:$A$481, A41)</f>
        <v>1220</v>
      </c>
    </row>
    <row r="42" spans="1:3" ht="15" x14ac:dyDescent="0.35">
      <c r="A42" s="10">
        <f t="shared" si="0"/>
        <v>45992</v>
      </c>
      <c r="B42">
        <f>SUMIFS('Sales Transactions'!$H$2:$H$651, 'Sales Transactions'!$C$2:$C$651, $B$2, 'Sales Transactions'!$D$2:$D$651, $B$3, 'Sales Transactions'!$B$2:$B$651, "&gt;="&amp;A42, 'Sales Transactions'!$B$2:$B$651, "&lt;"&amp;A43)</f>
        <v>0</v>
      </c>
      <c r="C42" s="11">
        <f>SUMIFS('Sales Targets'!$D$2:$D$481, 'Sales Targets'!$B$2:$B$481, $B$2, 'Sales Targets'!$C$2:$C$481, $B$3, 'Sales Targets'!$A$2:$A$481, A42)</f>
        <v>1230</v>
      </c>
    </row>
  </sheetData>
  <dataValidations count="2">
    <dataValidation type="list" allowBlank="1" showInputMessage="1" showErrorMessage="1" sqref="B2" xr:uid="{67152D10-2DDB-46A6-9D79-20864D0B8EC8}">
      <formula1>"Northeast,South,Midwest,West"</formula1>
    </dataValidation>
    <dataValidation type="list" allowBlank="1" showInputMessage="1" showErrorMessage="1" sqref="B3" xr:uid="{8C84C9CF-2DD4-43DB-ADD9-BB8B790C1AA9}">
      <formula1>"Electronics,Apparel,Home &amp; Garden,Sporting Goods,Toys &amp; Games"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</vt:lpstr>
      <vt:lpstr>Sales Targets</vt:lpstr>
      <vt:lpstr>Performance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Kira Burbank</cp:lastModifiedBy>
  <cp:revision>0</cp:revision>
  <dcterms:created xsi:type="dcterms:W3CDTF">2026-07-10T00:56:27Z</dcterms:created>
  <dcterms:modified xsi:type="dcterms:W3CDTF">2026-07-28T02:26:54Z</dcterms:modified>
  <dc:language>en-US</dc:language>
</cp:coreProperties>
</file>